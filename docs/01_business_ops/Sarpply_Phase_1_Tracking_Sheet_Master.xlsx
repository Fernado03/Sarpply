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KU" sheetId="1" state="visible" r:id="rId1"/>
    <sheet xmlns:r="http://schemas.openxmlformats.org/officeDocument/2006/relationships" name="1_Stalls" sheetId="2" state="visible" r:id="rId2"/>
    <sheet xmlns:r="http://schemas.openxmlformats.org/officeDocument/2006/relationships" name="2_Orders" sheetId="3" state="visible" r:id="rId3"/>
    <sheet xmlns:r="http://schemas.openxmlformats.org/officeDocument/2006/relationships" name="3_PO" sheetId="4" state="visible" r:id="rId4"/>
    <sheet xmlns:r="http://schemas.openxmlformats.org/officeDocument/2006/relationships" name="4_Batch_PnL" sheetId="5" state="visible" r:id="rId5"/>
    <sheet xmlns:r="http://schemas.openxmlformats.org/officeDocument/2006/relationships" name="5_Gate" sheetId="6" state="visible" r:id="rId6"/>
    <sheet xmlns:r="http://schemas.openxmlformats.org/officeDocument/2006/relationships" name="6_Observations" sheetId="7" state="visible" r:id="rId7"/>
  </sheets>
  <definedNames>
    <definedName name="_xlnm._FilterDatabase" localSheetId="1" hidden="1">'1_Stalls'!$A$1:$J$11</definedName>
    <definedName name="_xlnm._FilterDatabase" localSheetId="2" hidden="1">'2_Orders'!$A$1:$P$32</definedName>
    <definedName name="_xlnm._FilterDatabase" localSheetId="3" hidden="1">'3_PO'!$A$1:$J$13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M&quot;#,##0.00"/>
    <numFmt numFmtId="165" formatCode="0.0"/>
    <numFmt numFmtId="166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006100"/>
      <sz val="11"/>
    </font>
    <font>
      <name val="Calibri"/>
      <b val="1"/>
      <color rgb="00276A3C"/>
      <sz val="11"/>
    </font>
    <font>
      <name val="Calibri"/>
      <b val="1"/>
      <color rgb="00276A3C"/>
      <sz val="13"/>
    </font>
    <font>
      <name val="Calibri"/>
      <i val="1"/>
      <color rgb="00333333"/>
      <sz val="10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6FC"/>
        <bgColor rgb="00F2F6FC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49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1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pivotButton="0" quotePrefix="0" xfId="0"/>
    <xf numFmtId="164" fontId="3" fillId="0" borderId="1" pivotButton="0" quotePrefix="0" xfId="0"/>
    <xf numFmtId="0" fontId="3" fillId="4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Sarpply Phase 1 Gate Performance (B01 vs B02)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'5_Gate'!B10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'5_Gate'!$A$11:$A$12</f>
            </numRef>
          </cat>
          <val>
            <numRef>
              <f>'5_Gate'!$B$11:$B$12</f>
            </numRef>
          </val>
        </ser>
        <ser>
          <idx val="1"/>
          <order val="1"/>
          <tx>
            <strRef>
              <f>'5_Gate'!C10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'5_Gate'!$A$11:$A$12</f>
            </numRef>
          </cat>
          <val>
            <numRef>
              <f>'5_Gate'!$C$11:$C$12</f>
            </numRef>
          </val>
        </ser>
        <ser>
          <idx val="2"/>
          <order val="2"/>
          <tx>
            <strRef>
              <f>'5_Gate'!D10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'5_Gate'!$A$11:$A$12</f>
            </numRef>
          </cat>
          <val>
            <numRef>
              <f>'5_Gate'!$D$11:$D$12</f>
            </numRef>
          </val>
        </ser>
        <ser>
          <idx val="3"/>
          <order val="3"/>
          <tx>
            <strRef>
              <f>'5_Gate'!E10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'5_Gate'!$A$11:$A$12</f>
            </numRef>
          </cat>
          <val>
            <numRef>
              <f>'5_Gate'!$E$11:$E$12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Trading Batch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6" customWidth="1" min="4" max="4"/>
    <col width="18" customWidth="1" min="5" max="5"/>
    <col width="55" customWidth="1" min="6" max="6"/>
  </cols>
  <sheetData>
    <row r="1" ht="28" customHeight="1">
      <c r="A1" s="1" t="inlineStr">
        <is>
          <t>sku_code</t>
        </is>
      </c>
      <c r="B1" s="1" t="inlineStr">
        <is>
          <t>bundles_per_master_carton</t>
        </is>
      </c>
      <c r="C1" s="1" t="inlineStr">
        <is>
          <t>cost_per_bundle</t>
        </is>
      </c>
      <c r="D1" s="2" t="inlineStr">
        <is>
          <t>seed_master_carton_cost</t>
        </is>
      </c>
      <c r="E1" s="2" t="inlineStr">
        <is>
          <t>pool_unit_price</t>
        </is>
      </c>
      <c r="F1" s="3" t="inlineStr">
        <is>
          <t>sku_description</t>
        </is>
      </c>
    </row>
    <row r="2" ht="22" customHeight="1">
      <c r="A2" s="4" t="inlineStr">
        <is>
          <t>A1</t>
        </is>
      </c>
      <c r="B2" s="5" t="n">
        <v>10</v>
      </c>
      <c r="C2" s="6">
        <f>D2/B2</f>
        <v/>
      </c>
      <c r="D2" s="7" t="n">
        <v>135</v>
      </c>
      <c r="E2" s="7" t="n">
        <v>15</v>
      </c>
      <c r="F2" s="8" t="inlineStr">
        <is>
          <t>22oz PP Cups + Flat Lids (10 bundles x 100 pcs)</t>
        </is>
      </c>
    </row>
    <row r="3" ht="22" customHeight="1">
      <c r="A3" s="9" t="inlineStr">
        <is>
          <t>A2</t>
        </is>
      </c>
      <c r="B3" s="10" t="n">
        <v>10</v>
      </c>
      <c r="C3" s="11">
        <f>D3/B3</f>
        <v/>
      </c>
      <c r="D3" s="12" t="n">
        <v>120</v>
      </c>
      <c r="E3" s="12" t="n">
        <v>13.5</v>
      </c>
      <c r="F3" s="13" t="inlineStr">
        <is>
          <t>16oz PP Cups + Dome Lids (10 bundles x 100 pcs)</t>
        </is>
      </c>
    </row>
    <row r="4" ht="22" customHeight="1">
      <c r="A4" s="4" t="inlineStr">
        <is>
          <t>B1</t>
        </is>
      </c>
      <c r="B4" s="5" t="n">
        <v>10</v>
      </c>
      <c r="C4" s="6">
        <f>D4/B4</f>
        <v/>
      </c>
      <c r="D4" s="7" t="n">
        <v>110</v>
      </c>
      <c r="E4" s="7" t="n">
        <v>12.5</v>
      </c>
      <c r="F4" s="8" t="inlineStr">
        <is>
          <t>750ml Rectangular Food Container + Lids (10 bundles x 50 pcs)</t>
        </is>
      </c>
    </row>
    <row r="5" ht="22" customHeight="1">
      <c r="A5" s="9" t="inlineStr">
        <is>
          <t>C1</t>
        </is>
      </c>
      <c r="B5" s="10" t="n">
        <v>12</v>
      </c>
      <c r="C5" s="11">
        <f>D5/B5</f>
        <v/>
      </c>
      <c r="D5" s="12" t="n">
        <v>144</v>
      </c>
      <c r="E5" s="12" t="n">
        <v>13.5</v>
      </c>
      <c r="F5" s="13" t="inlineStr">
        <is>
          <t>Kraft Brown Lunch Box (12 bundles x 50 pcs)</t>
        </is>
      </c>
    </row>
    <row r="6" ht="22" customHeight="1">
      <c r="A6" s="4" t="inlineStr">
        <is>
          <t>D1</t>
        </is>
      </c>
      <c r="B6" s="5" t="n">
        <v>8</v>
      </c>
      <c r="C6" s="6">
        <f>D6/B6</f>
        <v/>
      </c>
      <c r="D6" s="7" t="n">
        <v>160</v>
      </c>
      <c r="E6" s="7" t="n">
        <v>21</v>
      </c>
      <c r="F6" s="8" t="inlineStr">
        <is>
          <t>Evaporated / Condensed Milk Carton (8 bundles x 6 tins)</t>
        </is>
      </c>
    </row>
    <row r="7" ht="22" customHeight="1">
      <c r="A7" s="9" t="inlineStr">
        <is>
          <t>E1</t>
        </is>
      </c>
      <c r="B7" s="10" t="n">
        <v>10</v>
      </c>
      <c r="C7" s="11">
        <f>D7/B7</f>
        <v/>
      </c>
      <c r="D7" s="12" t="n">
        <v>90</v>
      </c>
      <c r="E7" s="12" t="n">
        <v>10.5</v>
      </c>
      <c r="F7" s="13" t="inlineStr">
        <is>
          <t>Takeaway Singlet Oxo-Bag + Straw Bundle (10 bundles)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18" customWidth="1" min="9" max="9"/>
    <col width="12" customWidth="1" min="10" max="10"/>
  </cols>
  <sheetData>
    <row r="1" ht="28" customHeight="1">
      <c r="A1" s="1" t="inlineStr">
        <is>
          <t>stall_id</t>
        </is>
      </c>
      <c r="B1" s="14" t="inlineStr">
        <is>
          <t>stall_name</t>
        </is>
      </c>
      <c r="C1" s="1" t="inlineStr">
        <is>
          <t>cluster</t>
        </is>
      </c>
      <c r="D1" s="1" t="inlineStr">
        <is>
          <t>stall_number</t>
        </is>
      </c>
      <c r="E1" s="1" t="inlineStr">
        <is>
          <t>whatsapp_phone</t>
        </is>
      </c>
      <c r="F1" s="1" t="inlineStr">
        <is>
          <t>written_language</t>
        </is>
      </c>
      <c r="G1" s="1" t="inlineStr">
        <is>
          <t>trust_tier</t>
        </is>
      </c>
      <c r="H1" s="1" t="inlineStr">
        <is>
          <t>basket_tier</t>
        </is>
      </c>
      <c r="I1" s="1" t="inlineStr">
        <is>
          <t>onboarding_date</t>
        </is>
      </c>
      <c r="J1" s="1" t="inlineStr">
        <is>
          <t>is_active</t>
        </is>
      </c>
    </row>
    <row r="2" ht="22" customHeight="1">
      <c r="A2" s="4" t="inlineStr">
        <is>
          <t>S01</t>
        </is>
      </c>
      <c r="B2" s="8" t="inlineStr">
        <is>
          <t>Ah Seng Teh C Peng Special</t>
        </is>
      </c>
      <c r="C2" s="15" t="inlineStr">
        <is>
          <t>Premier 101</t>
        </is>
      </c>
      <c r="D2" s="15" t="inlineStr">
        <is>
          <t>P101-01</t>
        </is>
      </c>
      <c r="E2" s="16" t="inlineStr">
        <is>
          <t>+60128812341</t>
        </is>
      </c>
      <c r="F2" s="15" t="inlineStr">
        <is>
          <t>zh-CN</t>
        </is>
      </c>
      <c r="G2" s="17" t="inlineStr">
        <is>
          <t>ANCHOR_PRIORITY</t>
        </is>
      </c>
      <c r="H2" s="15" t="inlineStr">
        <is>
          <t>T1</t>
        </is>
      </c>
      <c r="I2" s="15" t="inlineStr">
        <is>
          <t>2026-10-10</t>
        </is>
      </c>
      <c r="J2" s="15" t="b">
        <v>1</v>
      </c>
    </row>
    <row r="3" ht="22" customHeight="1">
      <c r="A3" s="9" t="inlineStr">
        <is>
          <t>S02</t>
        </is>
      </c>
      <c r="B3" s="13" t="inlineStr">
        <is>
          <t>Kak Nor Nasi Lemak &amp; Laksa</t>
        </is>
      </c>
      <c r="C3" s="18" t="inlineStr">
        <is>
          <t>Premier 101</t>
        </is>
      </c>
      <c r="D3" s="18" t="inlineStr">
        <is>
          <t>P101-08</t>
        </is>
      </c>
      <c r="E3" s="19" t="inlineStr">
        <is>
          <t>+60198765432</t>
        </is>
      </c>
      <c r="F3" s="18" t="inlineStr">
        <is>
          <t>ms-MY</t>
        </is>
      </c>
      <c r="G3" s="18" t="inlineStr">
        <is>
          <t>COD_APPROVED</t>
        </is>
      </c>
      <c r="H3" s="18" t="inlineStr">
        <is>
          <t>T2</t>
        </is>
      </c>
      <c r="I3" s="18" t="inlineStr">
        <is>
          <t>2026-10-10</t>
        </is>
      </c>
      <c r="J3" s="18" t="b">
        <v>1</v>
      </c>
    </row>
    <row r="4" ht="22" customHeight="1">
      <c r="A4" s="4" t="inlineStr">
        <is>
          <t>S03</t>
        </is>
      </c>
      <c r="B4" s="8" t="inlineStr">
        <is>
          <t>Uncle Wong Kolo Mee</t>
        </is>
      </c>
      <c r="C4" s="15" t="inlineStr">
        <is>
          <t>Premier 101</t>
        </is>
      </c>
      <c r="D4" s="15" t="inlineStr">
        <is>
          <t>P101-12</t>
        </is>
      </c>
      <c r="E4" s="16" t="inlineStr">
        <is>
          <t>+60168551122</t>
        </is>
      </c>
      <c r="F4" s="15" t="inlineStr">
        <is>
          <t>zh-CN</t>
        </is>
      </c>
      <c r="G4" s="15" t="inlineStr">
        <is>
          <t>COD_APPROVED</t>
        </is>
      </c>
      <c r="H4" s="15" t="inlineStr">
        <is>
          <t>T2</t>
        </is>
      </c>
      <c r="I4" s="15" t="inlineStr">
        <is>
          <t>2026-10-11</t>
        </is>
      </c>
      <c r="J4" s="15" t="b">
        <v>1</v>
      </c>
    </row>
    <row r="5" ht="22" customHeight="1">
      <c r="A5" s="9" t="inlineStr">
        <is>
          <t>S04</t>
        </is>
      </c>
      <c r="B5" s="13" t="inlineStr">
        <is>
          <t>Borneo Shake &amp; Juice</t>
        </is>
      </c>
      <c r="C5" s="18" t="inlineStr">
        <is>
          <t>Premier 101</t>
        </is>
      </c>
      <c r="D5" s="18" t="inlineStr">
        <is>
          <t>P101-15</t>
        </is>
      </c>
      <c r="E5" s="19" t="inlineStr">
        <is>
          <t>+60138009988</t>
        </is>
      </c>
      <c r="F5" s="18" t="inlineStr">
        <is>
          <t>en</t>
        </is>
      </c>
      <c r="G5" s="18" t="inlineStr">
        <is>
          <t>COD_APPROVED</t>
        </is>
      </c>
      <c r="H5" s="18" t="inlineStr">
        <is>
          <t>T1</t>
        </is>
      </c>
      <c r="I5" s="18" t="inlineStr">
        <is>
          <t>2026-10-11</t>
        </is>
      </c>
      <c r="J5" s="18" t="b">
        <v>1</v>
      </c>
    </row>
    <row r="6" ht="22" customHeight="1">
      <c r="A6" s="4" t="inlineStr">
        <is>
          <t>S05</t>
        </is>
      </c>
      <c r="B6" s="8" t="inlineStr">
        <is>
          <t>Abang Zul Burger &amp; Oblong</t>
        </is>
      </c>
      <c r="C6" s="15" t="inlineStr">
        <is>
          <t>Premier 101</t>
        </is>
      </c>
      <c r="D6" s="15" t="inlineStr">
        <is>
          <t>P101-22</t>
        </is>
      </c>
      <c r="E6" s="16" t="inlineStr">
        <is>
          <t>+60178443321</t>
        </is>
      </c>
      <c r="F6" s="15" t="inlineStr">
        <is>
          <t>ms-MY</t>
        </is>
      </c>
      <c r="G6" s="20" t="inlineStr">
        <is>
          <t>PROVISIONAL</t>
        </is>
      </c>
      <c r="H6" s="15" t="inlineStr">
        <is>
          <t>T3</t>
        </is>
      </c>
      <c r="I6" s="15" t="inlineStr">
        <is>
          <t>2026-10-12</t>
        </is>
      </c>
      <c r="J6" s="15" t="b">
        <v>1</v>
      </c>
    </row>
    <row r="7" ht="22" customHeight="1">
      <c r="A7" s="9" t="inlineStr">
        <is>
          <t>S06</t>
        </is>
      </c>
      <c r="B7" s="13" t="inlineStr">
        <is>
          <t>Gala Haus Bubble Tea</t>
        </is>
      </c>
      <c r="C7" s="18" t="inlineStr">
        <is>
          <t>Gala City</t>
        </is>
      </c>
      <c r="D7" s="18" t="inlineStr">
        <is>
          <t>GC-03</t>
        </is>
      </c>
      <c r="E7" s="19" t="inlineStr">
        <is>
          <t>+601123456789</t>
        </is>
      </c>
      <c r="F7" s="18" t="inlineStr">
        <is>
          <t>zh-CN</t>
        </is>
      </c>
      <c r="G7" s="17" t="inlineStr">
        <is>
          <t>ANCHOR_PRIORITY</t>
        </is>
      </c>
      <c r="H7" s="18" t="inlineStr">
        <is>
          <t>T1</t>
        </is>
      </c>
      <c r="I7" s="18" t="inlineStr">
        <is>
          <t>2026-10-12</t>
        </is>
      </c>
      <c r="J7" s="18" t="b">
        <v>1</v>
      </c>
    </row>
    <row r="8" ht="22" customHeight="1">
      <c r="A8" s="4" t="inlineStr">
        <is>
          <t>S07</t>
        </is>
      </c>
      <c r="B8" s="8" t="inlineStr">
        <is>
          <t>Golden Wok Char Kuey Teow</t>
        </is>
      </c>
      <c r="C8" s="15" t="inlineStr">
        <is>
          <t>Gala City</t>
        </is>
      </c>
      <c r="D8" s="15" t="inlineStr">
        <is>
          <t>GC-09</t>
        </is>
      </c>
      <c r="E8" s="16" t="inlineStr">
        <is>
          <t>+60148227766</t>
        </is>
      </c>
      <c r="F8" s="15" t="inlineStr">
        <is>
          <t>zh-CN</t>
        </is>
      </c>
      <c r="G8" s="15" t="inlineStr">
        <is>
          <t>COD_APPROVED</t>
        </is>
      </c>
      <c r="H8" s="15" t="inlineStr">
        <is>
          <t>T2</t>
        </is>
      </c>
      <c r="I8" s="15" t="inlineStr">
        <is>
          <t>2026-10-13</t>
        </is>
      </c>
      <c r="J8" s="15" t="b">
        <v>1</v>
      </c>
    </row>
    <row r="9" ht="22" customHeight="1">
      <c r="A9" s="9" t="inlineStr">
        <is>
          <t>S08</t>
        </is>
      </c>
      <c r="B9" s="13" t="inlineStr">
        <is>
          <t>Dapur Maksu Ayam Gepuk</t>
        </is>
      </c>
      <c r="C9" s="18" t="inlineStr">
        <is>
          <t>Gala City</t>
        </is>
      </c>
      <c r="D9" s="18" t="inlineStr">
        <is>
          <t>GC-14</t>
        </is>
      </c>
      <c r="E9" s="19" t="inlineStr">
        <is>
          <t>+60198112233</t>
        </is>
      </c>
      <c r="F9" s="18" t="inlineStr">
        <is>
          <t>ms-MY</t>
        </is>
      </c>
      <c r="G9" s="18" t="inlineStr">
        <is>
          <t>COD_APPROVED</t>
        </is>
      </c>
      <c r="H9" s="18" t="inlineStr">
        <is>
          <t>T2</t>
        </is>
      </c>
      <c r="I9" s="18" t="inlineStr">
        <is>
          <t>2026-10-13</t>
        </is>
      </c>
      <c r="J9" s="18" t="b">
        <v>1</v>
      </c>
    </row>
    <row r="10" ht="22" customHeight="1">
      <c r="A10" s="4" t="inlineStr">
        <is>
          <t>S09</t>
        </is>
      </c>
      <c r="B10" s="8" t="inlineStr">
        <is>
          <t>Kopi &amp; Toast Corner</t>
        </is>
      </c>
      <c r="C10" s="15" t="inlineStr">
        <is>
          <t>Gala City</t>
        </is>
      </c>
      <c r="D10" s="15" t="inlineStr">
        <is>
          <t>GC-19</t>
        </is>
      </c>
      <c r="E10" s="16" t="inlineStr">
        <is>
          <t>+60168990011</t>
        </is>
      </c>
      <c r="F10" s="15" t="inlineStr">
        <is>
          <t>en</t>
        </is>
      </c>
      <c r="G10" s="15" t="inlineStr">
        <is>
          <t>COD_APPROVED</t>
        </is>
      </c>
      <c r="H10" s="15" t="inlineStr">
        <is>
          <t>T2</t>
        </is>
      </c>
      <c r="I10" s="15" t="inlineStr">
        <is>
          <t>2026-10-14</t>
        </is>
      </c>
      <c r="J10" s="15" t="b">
        <v>1</v>
      </c>
    </row>
    <row r="11" ht="22" customHeight="1">
      <c r="A11" s="9" t="inlineStr">
        <is>
          <t>S10</t>
        </is>
      </c>
      <c r="B11" s="13" t="inlineStr">
        <is>
          <t>Lok Lok Bros</t>
        </is>
      </c>
      <c r="C11" s="18" t="inlineStr">
        <is>
          <t>Gala City</t>
        </is>
      </c>
      <c r="D11" s="18" t="inlineStr">
        <is>
          <t>GC-25</t>
        </is>
      </c>
      <c r="E11" s="19" t="inlineStr"/>
      <c r="F11" s="18" t="inlineStr">
        <is>
          <t>zh-CN</t>
        </is>
      </c>
      <c r="G11" s="20" t="inlineStr">
        <is>
          <t>PROVISIONAL</t>
        </is>
      </c>
      <c r="H11" s="18" t="inlineStr">
        <is>
          <t>T3</t>
        </is>
      </c>
      <c r="I11" s="18" t="inlineStr">
        <is>
          <t>2026-10-22</t>
        </is>
      </c>
      <c r="J11" s="18" t="b">
        <v>1</v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1" customWidth="1" min="4" max="4"/>
    <col width="14" customWidth="1" min="5" max="5"/>
    <col width="17" customWidth="1" min="6" max="6"/>
    <col width="19" customWidth="1" min="7" max="7"/>
    <col width="14" customWidth="1" min="8" max="8"/>
    <col width="16" customWidth="1" min="9" max="9"/>
    <col width="18" customWidth="1" min="10" max="10"/>
    <col width="19" customWidth="1" min="11" max="11"/>
    <col width="19" customWidth="1" min="12" max="12"/>
    <col width="42" customWidth="1" min="13" max="13"/>
    <col width="15" customWidth="1" min="14" max="14"/>
    <col width="14" customWidth="1" min="15" max="15"/>
    <col width="15" customWidth="1" min="16" max="16"/>
  </cols>
  <sheetData>
    <row r="1" ht="28" customHeight="1">
      <c r="A1" s="1" t="inlineStr">
        <is>
          <t>batch_id</t>
        </is>
      </c>
      <c r="B1" s="1" t="inlineStr">
        <is>
          <t>delivery_date</t>
        </is>
      </c>
      <c r="C1" s="1" t="inlineStr">
        <is>
          <t>stall_id</t>
        </is>
      </c>
      <c r="D1" s="1" t="inlineStr">
        <is>
          <t>sku_code</t>
        </is>
      </c>
      <c r="E1" s="1" t="inlineStr">
        <is>
          <t>order_type</t>
        </is>
      </c>
      <c r="F1" s="1" t="inlineStr">
        <is>
          <t>ordered_bundles</t>
        </is>
      </c>
      <c r="G1" s="1" t="inlineStr">
        <is>
          <t>delivered_bundles</t>
        </is>
      </c>
      <c r="H1" s="1" t="inlineStr">
        <is>
          <t>unit_price</t>
        </is>
      </c>
      <c r="I1" s="1" t="inlineStr">
        <is>
          <t>payment_status</t>
        </is>
      </c>
      <c r="J1" s="1" t="inlineStr">
        <is>
          <t>fulfilment_status</t>
        </is>
      </c>
      <c r="K1" s="1" t="inlineStr">
        <is>
          <t>payment_reference</t>
        </is>
      </c>
      <c r="L1" s="1" t="inlineStr">
        <is>
          <t>source</t>
        </is>
      </c>
      <c r="M1" s="14" t="inlineStr">
        <is>
          <t>notes</t>
        </is>
      </c>
      <c r="N1" s="2" t="inlineStr">
        <is>
          <t>revenue</t>
        </is>
      </c>
      <c r="O1" s="2" t="inlineStr">
        <is>
          <t>gp</t>
        </is>
      </c>
      <c r="P1" s="2" t="inlineStr">
        <is>
          <t>cost</t>
        </is>
      </c>
    </row>
    <row r="2" ht="21" customHeight="1">
      <c r="A2" s="4" t="inlineStr">
        <is>
          <t>B01</t>
        </is>
      </c>
      <c r="B2" s="15" t="inlineStr">
        <is>
          <t>2026-10-15</t>
        </is>
      </c>
      <c r="C2" s="4" t="inlineStr">
        <is>
          <t>S01</t>
        </is>
      </c>
      <c r="D2" s="4" t="inlineStr">
        <is>
          <t>A1</t>
        </is>
      </c>
      <c r="E2" s="15" t="inlineStr">
        <is>
          <t>PREORDER</t>
        </is>
      </c>
      <c r="F2" s="5" t="n">
        <v>10</v>
      </c>
      <c r="G2" s="5" t="n">
        <v>10</v>
      </c>
      <c r="H2" s="7" t="n">
        <v>15</v>
      </c>
      <c r="I2" s="15" t="inlineStr">
        <is>
          <t>PAID_DUITNOW</t>
        </is>
      </c>
      <c r="J2" s="15" t="inlineStr">
        <is>
          <t>DELIVERED</t>
        </is>
      </c>
      <c r="K2" s="21" t="inlineStr">
        <is>
          <t>4821</t>
        </is>
      </c>
      <c r="L2" s="15" t="inlineStr">
        <is>
          <t>TEXT</t>
        </is>
      </c>
      <c r="M2" s="8" t="inlineStr">
        <is>
          <t>Anchor drink stall</t>
        </is>
      </c>
      <c r="N2" s="6">
        <f>H2*G2</f>
        <v/>
      </c>
      <c r="O2" s="6">
        <f>(H2-VLOOKUP(D2,'0_SKU'!$A$2:$C$7,3,FALSE))*G2</f>
        <v/>
      </c>
      <c r="P2" s="6">
        <f>VLOOKUP(D2,'0_SKU'!$A$2:$C$7,3,FALSE)*G2</f>
        <v/>
      </c>
    </row>
    <row r="3" ht="21" customHeight="1">
      <c r="A3" s="9" t="inlineStr">
        <is>
          <t>B01</t>
        </is>
      </c>
      <c r="B3" s="18" t="inlineStr">
        <is>
          <t>2026-10-15</t>
        </is>
      </c>
      <c r="C3" s="9" t="inlineStr">
        <is>
          <t>S01</t>
        </is>
      </c>
      <c r="D3" s="9" t="inlineStr">
        <is>
          <t>D1</t>
        </is>
      </c>
      <c r="E3" s="18" t="inlineStr">
        <is>
          <t>PREORDER</t>
        </is>
      </c>
      <c r="F3" s="10" t="n">
        <v>6</v>
      </c>
      <c r="G3" s="10" t="n">
        <v>6</v>
      </c>
      <c r="H3" s="12" t="n">
        <v>21</v>
      </c>
      <c r="I3" s="18" t="inlineStr">
        <is>
          <t>PAID_DUITNOW</t>
        </is>
      </c>
      <c r="J3" s="18" t="inlineStr">
        <is>
          <t>DELIVERED</t>
        </is>
      </c>
      <c r="K3" s="22" t="inlineStr">
        <is>
          <t>4821</t>
        </is>
      </c>
      <c r="L3" s="18" t="inlineStr">
        <is>
          <t>TEXT</t>
        </is>
      </c>
      <c r="M3" s="13" t="inlineStr">
        <is>
          <t>Bought milk w/ cups</t>
        </is>
      </c>
      <c r="N3" s="11">
        <f>H3*G3</f>
        <v/>
      </c>
      <c r="O3" s="11">
        <f>(H3-VLOOKUP(D3,'0_SKU'!$A$2:$C$7,3,FALSE))*G3</f>
        <v/>
      </c>
      <c r="P3" s="11">
        <f>VLOOKUP(D3,'0_SKU'!$A$2:$C$7,3,FALSE)*G3</f>
        <v/>
      </c>
    </row>
    <row r="4" ht="21" customHeight="1">
      <c r="A4" s="4" t="inlineStr">
        <is>
          <t>B01</t>
        </is>
      </c>
      <c r="B4" s="15" t="inlineStr">
        <is>
          <t>2026-10-15</t>
        </is>
      </c>
      <c r="C4" s="4" t="inlineStr">
        <is>
          <t>S02</t>
        </is>
      </c>
      <c r="D4" s="4" t="inlineStr">
        <is>
          <t>B1</t>
        </is>
      </c>
      <c r="E4" s="15" t="inlineStr">
        <is>
          <t>PREORDER</t>
        </is>
      </c>
      <c r="F4" s="5" t="n">
        <v>8</v>
      </c>
      <c r="G4" s="5" t="n">
        <v>8</v>
      </c>
      <c r="H4" s="7" t="n">
        <v>12.5</v>
      </c>
      <c r="I4" s="15" t="inlineStr">
        <is>
          <t>PAID_CASH</t>
        </is>
      </c>
      <c r="J4" s="15" t="inlineStr">
        <is>
          <t>DELIVERED</t>
        </is>
      </c>
      <c r="K4" s="21" t="inlineStr"/>
      <c r="L4" s="15" t="inlineStr">
        <is>
          <t>VOICE_FOUNDER</t>
        </is>
      </c>
      <c r="M4" s="8" t="inlineStr">
        <is>
          <t>Called founder directly</t>
        </is>
      </c>
      <c r="N4" s="6">
        <f>H4*G4</f>
        <v/>
      </c>
      <c r="O4" s="6">
        <f>(H4-VLOOKUP(D4,'0_SKU'!$A$2:$C$7,3,FALSE))*G4</f>
        <v/>
      </c>
      <c r="P4" s="6">
        <f>VLOOKUP(D4,'0_SKU'!$A$2:$C$7,3,FALSE)*G4</f>
        <v/>
      </c>
    </row>
    <row r="5" ht="21" customHeight="1">
      <c r="A5" s="9" t="inlineStr">
        <is>
          <t>B01</t>
        </is>
      </c>
      <c r="B5" s="18" t="inlineStr">
        <is>
          <t>2026-10-15</t>
        </is>
      </c>
      <c r="C5" s="9" t="inlineStr">
        <is>
          <t>S02</t>
        </is>
      </c>
      <c r="D5" s="9" t="inlineStr">
        <is>
          <t>E1</t>
        </is>
      </c>
      <c r="E5" s="18" t="inlineStr">
        <is>
          <t>PREORDER</t>
        </is>
      </c>
      <c r="F5" s="10" t="n">
        <v>5</v>
      </c>
      <c r="G5" s="10" t="n">
        <v>5</v>
      </c>
      <c r="H5" s="12" t="n">
        <v>10.5</v>
      </c>
      <c r="I5" s="18" t="inlineStr">
        <is>
          <t>PAID_CASH</t>
        </is>
      </c>
      <c r="J5" s="18" t="inlineStr">
        <is>
          <t>DELIVERED</t>
        </is>
      </c>
      <c r="K5" s="22" t="inlineStr"/>
      <c r="L5" s="18" t="inlineStr">
        <is>
          <t>VOICE_FOUNDER</t>
        </is>
      </c>
      <c r="M5" s="13" t="inlineStr">
        <is>
          <t>Added takeaway bags</t>
        </is>
      </c>
      <c r="N5" s="11">
        <f>H5*G5</f>
        <v/>
      </c>
      <c r="O5" s="11">
        <f>(H5-VLOOKUP(D5,'0_SKU'!$A$2:$C$7,3,FALSE))*G5</f>
        <v/>
      </c>
      <c r="P5" s="11">
        <f>VLOOKUP(D5,'0_SKU'!$A$2:$C$7,3,FALSE)*G5</f>
        <v/>
      </c>
    </row>
    <row r="6" ht="21" customHeight="1">
      <c r="A6" s="4" t="inlineStr">
        <is>
          <t>B01</t>
        </is>
      </c>
      <c r="B6" s="15" t="inlineStr">
        <is>
          <t>2026-10-15</t>
        </is>
      </c>
      <c r="C6" s="4" t="inlineStr">
        <is>
          <t>S03</t>
        </is>
      </c>
      <c r="D6" s="4" t="inlineStr">
        <is>
          <t>C1</t>
        </is>
      </c>
      <c r="E6" s="15" t="inlineStr">
        <is>
          <t>PREORDER</t>
        </is>
      </c>
      <c r="F6" s="5" t="n">
        <v>10</v>
      </c>
      <c r="G6" s="5" t="n">
        <v>10</v>
      </c>
      <c r="H6" s="7" t="n">
        <v>13.5</v>
      </c>
      <c r="I6" s="15" t="inlineStr">
        <is>
          <t>PAID_CASH</t>
        </is>
      </c>
      <c r="J6" s="15" t="inlineStr">
        <is>
          <t>DELIVERED</t>
        </is>
      </c>
      <c r="K6" s="21" t="inlineStr"/>
      <c r="L6" s="15" t="inlineStr">
        <is>
          <t>TEXT</t>
        </is>
      </c>
      <c r="M6" s="8" t="inlineStr">
        <is>
          <t>Mentioned C1 price only RM0.50 cheaper</t>
        </is>
      </c>
      <c r="N6" s="6">
        <f>H6*G6</f>
        <v/>
      </c>
      <c r="O6" s="6">
        <f>(H6-VLOOKUP(D6,'0_SKU'!$A$2:$C$7,3,FALSE))*G6</f>
        <v/>
      </c>
      <c r="P6" s="6">
        <f>VLOOKUP(D6,'0_SKU'!$A$2:$C$7,3,FALSE)*G6</f>
        <v/>
      </c>
    </row>
    <row r="7" ht="21" customHeight="1">
      <c r="A7" s="9" t="inlineStr">
        <is>
          <t>B01</t>
        </is>
      </c>
      <c r="B7" s="18" t="inlineStr">
        <is>
          <t>2026-10-15</t>
        </is>
      </c>
      <c r="C7" s="9" t="inlineStr">
        <is>
          <t>S04</t>
        </is>
      </c>
      <c r="D7" s="9" t="inlineStr">
        <is>
          <t>A1</t>
        </is>
      </c>
      <c r="E7" s="18" t="inlineStr">
        <is>
          <t>PREORDER</t>
        </is>
      </c>
      <c r="F7" s="10" t="n">
        <v>8</v>
      </c>
      <c r="G7" s="10" t="n">
        <v>8</v>
      </c>
      <c r="H7" s="12" t="n">
        <v>15</v>
      </c>
      <c r="I7" s="18" t="inlineStr">
        <is>
          <t>PAID_DUITNOW</t>
        </is>
      </c>
      <c r="J7" s="18" t="inlineStr">
        <is>
          <t>DELIVERED</t>
        </is>
      </c>
      <c r="K7" s="22" t="inlineStr">
        <is>
          <t>5510</t>
        </is>
      </c>
      <c r="L7" s="18" t="inlineStr">
        <is>
          <t>TEXT</t>
        </is>
      </c>
      <c r="M7" s="13" t="inlineStr">
        <is>
          <t>Juice stall cup restock</t>
        </is>
      </c>
      <c r="N7" s="11">
        <f>H7*G7</f>
        <v/>
      </c>
      <c r="O7" s="11">
        <f>(H7-VLOOKUP(D7,'0_SKU'!$A$2:$C$7,3,FALSE))*G7</f>
        <v/>
      </c>
      <c r="P7" s="11">
        <f>VLOOKUP(D7,'0_SKU'!$A$2:$C$7,3,FALSE)*G7</f>
        <v/>
      </c>
    </row>
    <row r="8" ht="21" customHeight="1">
      <c r="A8" s="4" t="inlineStr">
        <is>
          <t>B01</t>
        </is>
      </c>
      <c r="B8" s="15" t="inlineStr">
        <is>
          <t>2026-10-15</t>
        </is>
      </c>
      <c r="C8" s="4" t="inlineStr">
        <is>
          <t>S04</t>
        </is>
      </c>
      <c r="D8" s="4" t="inlineStr">
        <is>
          <t>A2</t>
        </is>
      </c>
      <c r="E8" s="15" t="inlineStr">
        <is>
          <t>PREORDER</t>
        </is>
      </c>
      <c r="F8" s="5" t="n">
        <v>8</v>
      </c>
      <c r="G8" s="5" t="n">
        <v>8</v>
      </c>
      <c r="H8" s="7" t="n">
        <v>13.5</v>
      </c>
      <c r="I8" s="15" t="inlineStr">
        <is>
          <t>PAID_DUITNOW</t>
        </is>
      </c>
      <c r="J8" s="15" t="inlineStr">
        <is>
          <t>DELIVERED</t>
        </is>
      </c>
      <c r="K8" s="21" t="inlineStr">
        <is>
          <t>5510</t>
        </is>
      </c>
      <c r="L8" s="15" t="inlineStr">
        <is>
          <t>TEXT</t>
        </is>
      </c>
      <c r="M8" s="8" t="inlineStr">
        <is>
          <t>16oz smoothie dome cups</t>
        </is>
      </c>
      <c r="N8" s="6">
        <f>H8*G8</f>
        <v/>
      </c>
      <c r="O8" s="6">
        <f>(H8-VLOOKUP(D8,'0_SKU'!$A$2:$C$7,3,FALSE))*G8</f>
        <v/>
      </c>
      <c r="P8" s="6">
        <f>VLOOKUP(D8,'0_SKU'!$A$2:$C$7,3,FALSE)*G8</f>
        <v/>
      </c>
    </row>
    <row r="9" ht="21" customHeight="1">
      <c r="A9" s="9" t="inlineStr">
        <is>
          <t>B01</t>
        </is>
      </c>
      <c r="B9" s="18" t="inlineStr">
        <is>
          <t>2026-10-15</t>
        </is>
      </c>
      <c r="C9" s="9" t="inlineStr">
        <is>
          <t>S05</t>
        </is>
      </c>
      <c r="D9" s="9" t="inlineStr">
        <is>
          <t>B1</t>
        </is>
      </c>
      <c r="E9" s="18" t="inlineStr">
        <is>
          <t>PREORDER</t>
        </is>
      </c>
      <c r="F9" s="10" t="n">
        <v>8</v>
      </c>
      <c r="G9" s="23" t="n">
        <v>4</v>
      </c>
      <c r="H9" s="12" t="n">
        <v>12.5</v>
      </c>
      <c r="I9" s="18" t="inlineStr">
        <is>
          <t>PAID_CASH</t>
        </is>
      </c>
      <c r="J9" s="20" t="inlineStr">
        <is>
          <t>PARTIAL</t>
        </is>
      </c>
      <c r="K9" s="22" t="inlineStr"/>
      <c r="L9" s="18" t="inlineStr">
        <is>
          <t>TEXT</t>
        </is>
      </c>
      <c r="M9" s="13" t="inlineStr">
        <is>
          <t>Only had cash for 4 bundles at stall</t>
        </is>
      </c>
      <c r="N9" s="11">
        <f>H9*G9</f>
        <v/>
      </c>
      <c r="O9" s="11">
        <f>(H9-VLOOKUP(D9,'0_SKU'!$A$2:$C$7,3,FALSE))*G9</f>
        <v/>
      </c>
      <c r="P9" s="11">
        <f>VLOOKUP(D9,'0_SKU'!$A$2:$C$7,3,FALSE)*G9</f>
        <v/>
      </c>
    </row>
    <row r="10" ht="21" customHeight="1">
      <c r="A10" s="4" t="inlineStr">
        <is>
          <t>B01</t>
        </is>
      </c>
      <c r="B10" s="15" t="inlineStr">
        <is>
          <t>2026-10-15</t>
        </is>
      </c>
      <c r="C10" s="4" t="inlineStr">
        <is>
          <t>S06</t>
        </is>
      </c>
      <c r="D10" s="4" t="inlineStr">
        <is>
          <t>A1</t>
        </is>
      </c>
      <c r="E10" s="15" t="inlineStr">
        <is>
          <t>PREORDER</t>
        </is>
      </c>
      <c r="F10" s="5" t="n">
        <v>10</v>
      </c>
      <c r="G10" s="5" t="n">
        <v>10</v>
      </c>
      <c r="H10" s="7" t="n">
        <v>15</v>
      </c>
      <c r="I10" s="15" t="inlineStr">
        <is>
          <t>PAID_DUITNOW</t>
        </is>
      </c>
      <c r="J10" s="15" t="inlineStr">
        <is>
          <t>DELIVERED</t>
        </is>
      </c>
      <c r="K10" s="21" t="inlineStr">
        <is>
          <t>9012</t>
        </is>
      </c>
      <c r="L10" s="15" t="inlineStr">
        <is>
          <t>TEXT</t>
        </is>
      </c>
      <c r="M10" s="8" t="inlineStr">
        <is>
          <t>Fast QR payment</t>
        </is>
      </c>
      <c r="N10" s="6">
        <f>H10*G10</f>
        <v/>
      </c>
      <c r="O10" s="6">
        <f>(H10-VLOOKUP(D10,'0_SKU'!$A$2:$C$7,3,FALSE))*G10</f>
        <v/>
      </c>
      <c r="P10" s="6">
        <f>VLOOKUP(D10,'0_SKU'!$A$2:$C$7,3,FALSE)*G10</f>
        <v/>
      </c>
    </row>
    <row r="11" ht="21" customHeight="1">
      <c r="A11" s="9" t="inlineStr">
        <is>
          <t>B01</t>
        </is>
      </c>
      <c r="B11" s="18" t="inlineStr">
        <is>
          <t>2026-10-15</t>
        </is>
      </c>
      <c r="C11" s="9" t="inlineStr">
        <is>
          <t>S06</t>
        </is>
      </c>
      <c r="D11" s="9" t="inlineStr">
        <is>
          <t>A2</t>
        </is>
      </c>
      <c r="E11" s="18" t="inlineStr">
        <is>
          <t>PREORDER</t>
        </is>
      </c>
      <c r="F11" s="10" t="n">
        <v>10</v>
      </c>
      <c r="G11" s="10" t="n">
        <v>10</v>
      </c>
      <c r="H11" s="12" t="n">
        <v>13.5</v>
      </c>
      <c r="I11" s="18" t="inlineStr">
        <is>
          <t>PAID_DUITNOW</t>
        </is>
      </c>
      <c r="J11" s="18" t="inlineStr">
        <is>
          <t>DELIVERED</t>
        </is>
      </c>
      <c r="K11" s="22" t="inlineStr">
        <is>
          <t>9012</t>
        </is>
      </c>
      <c r="L11" s="18" t="inlineStr">
        <is>
          <t>TEXT</t>
        </is>
      </c>
      <c r="M11" s="13" t="inlineStr">
        <is>
          <t>Gala City anchor drink stall</t>
        </is>
      </c>
      <c r="N11" s="11">
        <f>H11*G11</f>
        <v/>
      </c>
      <c r="O11" s="11">
        <f>(H11-VLOOKUP(D11,'0_SKU'!$A$2:$C$7,3,FALSE))*G11</f>
        <v/>
      </c>
      <c r="P11" s="11">
        <f>VLOOKUP(D11,'0_SKU'!$A$2:$C$7,3,FALSE)*G11</f>
        <v/>
      </c>
    </row>
    <row r="12" ht="21" customHeight="1">
      <c r="A12" s="4" t="inlineStr">
        <is>
          <t>B01</t>
        </is>
      </c>
      <c r="B12" s="15" t="inlineStr">
        <is>
          <t>2026-10-15</t>
        </is>
      </c>
      <c r="C12" s="4" t="inlineStr">
        <is>
          <t>S07</t>
        </is>
      </c>
      <c r="D12" s="4" t="inlineStr">
        <is>
          <t>C1</t>
        </is>
      </c>
      <c r="E12" s="15" t="inlineStr">
        <is>
          <t>PREORDER</t>
        </is>
      </c>
      <c r="F12" s="5" t="n">
        <v>10</v>
      </c>
      <c r="G12" s="5" t="n">
        <v>10</v>
      </c>
      <c r="H12" s="7" t="n">
        <v>13.5</v>
      </c>
      <c r="I12" s="15" t="inlineStr">
        <is>
          <t>PAID_CASH</t>
        </is>
      </c>
      <c r="J12" s="15" t="inlineStr">
        <is>
          <t>DELIVERED</t>
        </is>
      </c>
      <c r="K12" s="21" t="inlineStr"/>
      <c r="L12" s="15" t="inlineStr">
        <is>
          <t>TEXT</t>
        </is>
      </c>
      <c r="M12" s="8" t="inlineStr">
        <is>
          <t>Char Kuey Teow lunch boxes</t>
        </is>
      </c>
      <c r="N12" s="6">
        <f>H12*G12</f>
        <v/>
      </c>
      <c r="O12" s="6">
        <f>(H12-VLOOKUP(D12,'0_SKU'!$A$2:$C$7,3,FALSE))*G12</f>
        <v/>
      </c>
      <c r="P12" s="6">
        <f>VLOOKUP(D12,'0_SKU'!$A$2:$C$7,3,FALSE)*G12</f>
        <v/>
      </c>
    </row>
    <row r="13" ht="21" customHeight="1">
      <c r="A13" s="9" t="inlineStr">
        <is>
          <t>B01</t>
        </is>
      </c>
      <c r="B13" s="18" t="inlineStr">
        <is>
          <t>2026-10-15</t>
        </is>
      </c>
      <c r="C13" s="9" t="inlineStr">
        <is>
          <t>S07</t>
        </is>
      </c>
      <c r="D13" s="9" t="inlineStr">
        <is>
          <t>E1</t>
        </is>
      </c>
      <c r="E13" s="18" t="inlineStr">
        <is>
          <t>PREORDER</t>
        </is>
      </c>
      <c r="F13" s="10" t="n">
        <v>5</v>
      </c>
      <c r="G13" s="10" t="n">
        <v>5</v>
      </c>
      <c r="H13" s="12" t="n">
        <v>10.5</v>
      </c>
      <c r="I13" s="18" t="inlineStr">
        <is>
          <t>PAID_CASH</t>
        </is>
      </c>
      <c r="J13" s="18" t="inlineStr">
        <is>
          <t>DELIVERED</t>
        </is>
      </c>
      <c r="K13" s="22" t="inlineStr"/>
      <c r="L13" s="18" t="inlineStr">
        <is>
          <t>TEXT</t>
        </is>
      </c>
      <c r="M13" s="13" t="inlineStr">
        <is>
          <t>Singlet bags &amp; straws</t>
        </is>
      </c>
      <c r="N13" s="11">
        <f>H13*G13</f>
        <v/>
      </c>
      <c r="O13" s="11">
        <f>(H13-VLOOKUP(D13,'0_SKU'!$A$2:$C$7,3,FALSE))*G13</f>
        <v/>
      </c>
      <c r="P13" s="11">
        <f>VLOOKUP(D13,'0_SKU'!$A$2:$C$7,3,FALSE)*G13</f>
        <v/>
      </c>
    </row>
    <row r="14" ht="21" customHeight="1">
      <c r="A14" s="4" t="inlineStr">
        <is>
          <t>B01</t>
        </is>
      </c>
      <c r="B14" s="15" t="inlineStr">
        <is>
          <t>2026-10-15</t>
        </is>
      </c>
      <c r="C14" s="4" t="inlineStr">
        <is>
          <t>S08</t>
        </is>
      </c>
      <c r="D14" s="4" t="inlineStr">
        <is>
          <t>B1</t>
        </is>
      </c>
      <c r="E14" s="15" t="inlineStr">
        <is>
          <t>PREORDER</t>
        </is>
      </c>
      <c r="F14" s="5" t="n">
        <v>10</v>
      </c>
      <c r="G14" s="5" t="n">
        <v>10</v>
      </c>
      <c r="H14" s="7" t="n">
        <v>12.5</v>
      </c>
      <c r="I14" s="15" t="inlineStr">
        <is>
          <t>PAID_DUITNOW</t>
        </is>
      </c>
      <c r="J14" s="15" t="inlineStr">
        <is>
          <t>DELIVERED</t>
        </is>
      </c>
      <c r="K14" s="21" t="inlineStr">
        <is>
          <t>1184</t>
        </is>
      </c>
      <c r="L14" s="15" t="inlineStr">
        <is>
          <t>VOICE_FOUNDER</t>
        </is>
      </c>
      <c r="M14" s="8" t="inlineStr">
        <is>
          <t>Sent voice note, confirmed by phone</t>
        </is>
      </c>
      <c r="N14" s="6">
        <f>H14*G14</f>
        <v/>
      </c>
      <c r="O14" s="6">
        <f>(H14-VLOOKUP(D14,'0_SKU'!$A$2:$C$7,3,FALSE))*G14</f>
        <v/>
      </c>
      <c r="P14" s="6">
        <f>VLOOKUP(D14,'0_SKU'!$A$2:$C$7,3,FALSE)*G14</f>
        <v/>
      </c>
    </row>
    <row r="15" ht="21" customHeight="1">
      <c r="A15" s="9" t="inlineStr">
        <is>
          <t>B01</t>
        </is>
      </c>
      <c r="B15" s="18" t="inlineStr">
        <is>
          <t>2026-10-15</t>
        </is>
      </c>
      <c r="C15" s="9" t="inlineStr">
        <is>
          <t>S09</t>
        </is>
      </c>
      <c r="D15" s="9" t="inlineStr">
        <is>
          <t>D1</t>
        </is>
      </c>
      <c r="E15" s="18" t="inlineStr">
        <is>
          <t>PREORDER</t>
        </is>
      </c>
      <c r="F15" s="10" t="n">
        <v>8</v>
      </c>
      <c r="G15" s="10" t="n">
        <v>8</v>
      </c>
      <c r="H15" s="12" t="n">
        <v>21</v>
      </c>
      <c r="I15" s="18" t="inlineStr">
        <is>
          <t>PAID_DUITNOW</t>
        </is>
      </c>
      <c r="J15" s="18" t="inlineStr">
        <is>
          <t>DELIVERED</t>
        </is>
      </c>
      <c r="K15" s="22" t="inlineStr">
        <is>
          <t>6309</t>
        </is>
      </c>
      <c r="L15" s="18" t="inlineStr">
        <is>
          <t>TEXT</t>
        </is>
      </c>
      <c r="M15" s="13" t="inlineStr">
        <is>
          <t>Kopi stall evaporated/condensed milk</t>
        </is>
      </c>
      <c r="N15" s="11">
        <f>H15*G15</f>
        <v/>
      </c>
      <c r="O15" s="11">
        <f>(H15-VLOOKUP(D15,'0_SKU'!$A$2:$C$7,3,FALSE))*G15</f>
        <v/>
      </c>
      <c r="P15" s="11">
        <f>VLOOKUP(D15,'0_SKU'!$A$2:$C$7,3,FALSE)*G15</f>
        <v/>
      </c>
    </row>
    <row r="16" ht="21" customHeight="1">
      <c r="A16" s="4" t="inlineStr">
        <is>
          <t>B01</t>
        </is>
      </c>
      <c r="B16" s="15" t="inlineStr">
        <is>
          <t>2026-10-15</t>
        </is>
      </c>
      <c r="C16" s="4" t="inlineStr">
        <is>
          <t>S09</t>
        </is>
      </c>
      <c r="D16" s="4" t="inlineStr">
        <is>
          <t>B1</t>
        </is>
      </c>
      <c r="E16" s="15" t="inlineStr">
        <is>
          <t>PREORDER</t>
        </is>
      </c>
      <c r="F16" s="5" t="n">
        <v>4</v>
      </c>
      <c r="G16" s="5" t="n">
        <v>4</v>
      </c>
      <c r="H16" s="7" t="n">
        <v>12.5</v>
      </c>
      <c r="I16" s="15" t="inlineStr">
        <is>
          <t>PAID_DUITNOW</t>
        </is>
      </c>
      <c r="J16" s="15" t="inlineStr">
        <is>
          <t>DELIVERED</t>
        </is>
      </c>
      <c r="K16" s="21" t="inlineStr">
        <is>
          <t>6309</t>
        </is>
      </c>
      <c r="L16" s="15" t="inlineStr">
        <is>
          <t>TEXT</t>
        </is>
      </c>
      <c r="M16" s="8" t="inlineStr">
        <is>
          <t>Toast takeaway boxes</t>
        </is>
      </c>
      <c r="N16" s="6">
        <f>H16*G16</f>
        <v/>
      </c>
      <c r="O16" s="6">
        <f>(H16-VLOOKUP(D16,'0_SKU'!$A$2:$C$7,3,FALSE))*G16</f>
        <v/>
      </c>
      <c r="P16" s="6">
        <f>VLOOKUP(D16,'0_SKU'!$A$2:$C$7,3,FALSE)*G16</f>
        <v/>
      </c>
    </row>
    <row r="17" ht="21" customHeight="1">
      <c r="A17" s="9" t="inlineStr">
        <is>
          <t>B02</t>
        </is>
      </c>
      <c r="B17" s="18" t="inlineStr">
        <is>
          <t>2026-10-22</t>
        </is>
      </c>
      <c r="C17" s="9" t="inlineStr">
        <is>
          <t>S01</t>
        </is>
      </c>
      <c r="D17" s="9" t="inlineStr">
        <is>
          <t>A1</t>
        </is>
      </c>
      <c r="E17" s="18" t="inlineStr">
        <is>
          <t>PREORDER</t>
        </is>
      </c>
      <c r="F17" s="10" t="n">
        <v>12</v>
      </c>
      <c r="G17" s="10" t="n">
        <v>12</v>
      </c>
      <c r="H17" s="12" t="n">
        <v>15</v>
      </c>
      <c r="I17" s="18" t="inlineStr">
        <is>
          <t>PAID_DUITNOW</t>
        </is>
      </c>
      <c r="J17" s="18" t="inlineStr">
        <is>
          <t>DELIVERED</t>
        </is>
      </c>
      <c r="K17" s="22" t="inlineStr">
        <is>
          <t>7731</t>
        </is>
      </c>
      <c r="L17" s="18" t="inlineStr">
        <is>
          <t>TEXT</t>
        </is>
      </c>
      <c r="M17" s="13" t="inlineStr">
        <is>
          <t>Reordered +2 bundles vs B01</t>
        </is>
      </c>
      <c r="N17" s="11">
        <f>H17*G17</f>
        <v/>
      </c>
      <c r="O17" s="11">
        <f>(H17-VLOOKUP(D17,'0_SKU'!$A$2:$C$7,3,FALSE))*G17</f>
        <v/>
      </c>
      <c r="P17" s="11">
        <f>VLOOKUP(D17,'0_SKU'!$A$2:$C$7,3,FALSE)*G17</f>
        <v/>
      </c>
    </row>
    <row r="18" ht="21" customHeight="1">
      <c r="A18" s="24" t="inlineStr">
        <is>
          <t>B02</t>
        </is>
      </c>
      <c r="B18" s="25" t="inlineStr">
        <is>
          <t>2026-10-22</t>
        </is>
      </c>
      <c r="C18" s="24" t="inlineStr">
        <is>
          <t>S01</t>
        </is>
      </c>
      <c r="D18" s="24" t="inlineStr">
        <is>
          <t>D1</t>
        </is>
      </c>
      <c r="E18" s="25" t="inlineStr">
        <is>
          <t>PREORDER</t>
        </is>
      </c>
      <c r="F18" s="26" t="n">
        <v>8</v>
      </c>
      <c r="G18" s="26" t="n">
        <v>8</v>
      </c>
      <c r="H18" s="27" t="n">
        <v>21</v>
      </c>
      <c r="I18" s="25" t="inlineStr">
        <is>
          <t>PAID_DUITNOW</t>
        </is>
      </c>
      <c r="J18" s="25" t="inlineStr">
        <is>
          <t>DELIVERED</t>
        </is>
      </c>
      <c r="K18" s="28" t="inlineStr">
        <is>
          <t>7731</t>
        </is>
      </c>
      <c r="L18" s="25" t="inlineStr">
        <is>
          <t>TEXT</t>
        </is>
      </c>
      <c r="M18" s="29" t="inlineStr">
        <is>
          <t>Full carton milk order</t>
        </is>
      </c>
      <c r="N18" s="30">
        <f>H18*G18</f>
        <v/>
      </c>
      <c r="O18" s="30">
        <f>(H18-VLOOKUP(D18,'0_SKU'!$A$2:$C$7,3,FALSE))*G18</f>
        <v/>
      </c>
      <c r="P18" s="30">
        <f>VLOOKUP(D18,'0_SKU'!$A$2:$C$7,3,FALSE)*G18</f>
        <v/>
      </c>
    </row>
    <row r="19" ht="21" customHeight="1">
      <c r="A19" s="9" t="inlineStr">
        <is>
          <t>B02</t>
        </is>
      </c>
      <c r="B19" s="18" t="inlineStr">
        <is>
          <t>2026-10-22</t>
        </is>
      </c>
      <c r="C19" s="9" t="inlineStr">
        <is>
          <t>S02</t>
        </is>
      </c>
      <c r="D19" s="9" t="inlineStr">
        <is>
          <t>B1</t>
        </is>
      </c>
      <c r="E19" s="18" t="inlineStr">
        <is>
          <t>PREORDER</t>
        </is>
      </c>
      <c r="F19" s="10" t="n">
        <v>8</v>
      </c>
      <c r="G19" s="10" t="n">
        <v>8</v>
      </c>
      <c r="H19" s="12" t="n">
        <v>12.5</v>
      </c>
      <c r="I19" s="18" t="inlineStr">
        <is>
          <t>PAID_CASH</t>
        </is>
      </c>
      <c r="J19" s="18" t="inlineStr">
        <is>
          <t>DELIVERED</t>
        </is>
      </c>
      <c r="K19" s="22" t="inlineStr"/>
      <c r="L19" s="18" t="inlineStr">
        <is>
          <t>TEXT</t>
        </is>
      </c>
      <c r="M19" s="13" t="inlineStr">
        <is>
          <t>Switched from voice to text</t>
        </is>
      </c>
      <c r="N19" s="11">
        <f>H19*G19</f>
        <v/>
      </c>
      <c r="O19" s="11">
        <f>(H19-VLOOKUP(D19,'0_SKU'!$A$2:$C$7,3,FALSE))*G19</f>
        <v/>
      </c>
      <c r="P19" s="11">
        <f>VLOOKUP(D19,'0_SKU'!$A$2:$C$7,3,FALSE)*G19</f>
        <v/>
      </c>
    </row>
    <row r="20" ht="21" customHeight="1">
      <c r="A20" s="24" t="inlineStr">
        <is>
          <t>B02</t>
        </is>
      </c>
      <c r="B20" s="25" t="inlineStr">
        <is>
          <t>2026-10-22</t>
        </is>
      </c>
      <c r="C20" s="24" t="inlineStr">
        <is>
          <t>S02</t>
        </is>
      </c>
      <c r="D20" s="24" t="inlineStr">
        <is>
          <t>E1</t>
        </is>
      </c>
      <c r="E20" s="25" t="inlineStr">
        <is>
          <t>PREORDER</t>
        </is>
      </c>
      <c r="F20" s="26" t="n">
        <v>5</v>
      </c>
      <c r="G20" s="26" t="n">
        <v>5</v>
      </c>
      <c r="H20" s="27" t="n">
        <v>10.5</v>
      </c>
      <c r="I20" s="25" t="inlineStr">
        <is>
          <t>PAID_CASH</t>
        </is>
      </c>
      <c r="J20" s="25" t="inlineStr">
        <is>
          <t>DELIVERED</t>
        </is>
      </c>
      <c r="K20" s="28" t="inlineStr"/>
      <c r="L20" s="25" t="inlineStr">
        <is>
          <t>TEXT</t>
        </is>
      </c>
      <c r="M20" s="29" t="inlineStr">
        <is>
          <t>Regular bag restock</t>
        </is>
      </c>
      <c r="N20" s="30">
        <f>H20*G20</f>
        <v/>
      </c>
      <c r="O20" s="30">
        <f>(H20-VLOOKUP(D20,'0_SKU'!$A$2:$C$7,3,FALSE))*G20</f>
        <v/>
      </c>
      <c r="P20" s="30">
        <f>VLOOKUP(D20,'0_SKU'!$A$2:$C$7,3,FALSE)*G20</f>
        <v/>
      </c>
    </row>
    <row r="21" ht="21" customHeight="1">
      <c r="A21" s="9" t="inlineStr">
        <is>
          <t>B02</t>
        </is>
      </c>
      <c r="B21" s="18" t="inlineStr">
        <is>
          <t>2026-10-22</t>
        </is>
      </c>
      <c r="C21" s="9" t="inlineStr">
        <is>
          <t>S03</t>
        </is>
      </c>
      <c r="D21" s="9" t="inlineStr">
        <is>
          <t>C1</t>
        </is>
      </c>
      <c r="E21" s="18" t="inlineStr">
        <is>
          <t>PREORDER</t>
        </is>
      </c>
      <c r="F21" s="10" t="n">
        <v>12</v>
      </c>
      <c r="G21" s="10" t="n">
        <v>12</v>
      </c>
      <c r="H21" s="12" t="n">
        <v>13.5</v>
      </c>
      <c r="I21" s="18" t="inlineStr">
        <is>
          <t>PAID_CASH</t>
        </is>
      </c>
      <c r="J21" s="18" t="inlineStr">
        <is>
          <t>DELIVERED</t>
        </is>
      </c>
      <c r="K21" s="22" t="inlineStr"/>
      <c r="L21" s="18" t="inlineStr">
        <is>
          <t>TEXT</t>
        </is>
      </c>
      <c r="M21" s="13" t="inlineStr">
        <is>
          <t>Upgraded to full master carton (12 bundles)</t>
        </is>
      </c>
      <c r="N21" s="11">
        <f>H21*G21</f>
        <v/>
      </c>
      <c r="O21" s="11">
        <f>(H21-VLOOKUP(D21,'0_SKU'!$A$2:$C$7,3,FALSE))*G21</f>
        <v/>
      </c>
      <c r="P21" s="11">
        <f>VLOOKUP(D21,'0_SKU'!$A$2:$C$7,3,FALSE)*G21</f>
        <v/>
      </c>
    </row>
    <row r="22" ht="21" customHeight="1">
      <c r="A22" s="24" t="inlineStr">
        <is>
          <t>B02</t>
        </is>
      </c>
      <c r="B22" s="25" t="inlineStr">
        <is>
          <t>2026-10-22</t>
        </is>
      </c>
      <c r="C22" s="24" t="inlineStr">
        <is>
          <t>S04</t>
        </is>
      </c>
      <c r="D22" s="24" t="inlineStr">
        <is>
          <t>A1</t>
        </is>
      </c>
      <c r="E22" s="25" t="inlineStr">
        <is>
          <t>PREORDER</t>
        </is>
      </c>
      <c r="F22" s="26" t="n">
        <v>9</v>
      </c>
      <c r="G22" s="26" t="n">
        <v>9</v>
      </c>
      <c r="H22" s="27" t="n">
        <v>15</v>
      </c>
      <c r="I22" s="25" t="inlineStr">
        <is>
          <t>PAID_DUITNOW</t>
        </is>
      </c>
      <c r="J22" s="25" t="inlineStr">
        <is>
          <t>DELIVERED</t>
        </is>
      </c>
      <c r="K22" s="28" t="inlineStr">
        <is>
          <t>8842</t>
        </is>
      </c>
      <c r="L22" s="25" t="inlineStr">
        <is>
          <t>TEXT</t>
        </is>
      </c>
      <c r="M22" s="29" t="inlineStr">
        <is>
          <t>Used 1 bundle from B01 buffer</t>
        </is>
      </c>
      <c r="N22" s="30">
        <f>H22*G22</f>
        <v/>
      </c>
      <c r="O22" s="30">
        <f>(H22-VLOOKUP(D22,'0_SKU'!$A$2:$C$7,3,FALSE))*G22</f>
        <v/>
      </c>
      <c r="P22" s="30">
        <f>VLOOKUP(D22,'0_SKU'!$A$2:$C$7,3,FALSE)*G22</f>
        <v/>
      </c>
    </row>
    <row r="23" ht="21" customHeight="1">
      <c r="A23" s="9" t="inlineStr">
        <is>
          <t>B02</t>
        </is>
      </c>
      <c r="B23" s="18" t="inlineStr">
        <is>
          <t>2026-10-22</t>
        </is>
      </c>
      <c r="C23" s="9" t="inlineStr">
        <is>
          <t>S04</t>
        </is>
      </c>
      <c r="D23" s="9" t="inlineStr">
        <is>
          <t>A2</t>
        </is>
      </c>
      <c r="E23" s="18" t="inlineStr">
        <is>
          <t>PREORDER</t>
        </is>
      </c>
      <c r="F23" s="10" t="n">
        <v>10</v>
      </c>
      <c r="G23" s="10" t="n">
        <v>10</v>
      </c>
      <c r="H23" s="12" t="n">
        <v>13.5</v>
      </c>
      <c r="I23" s="18" t="inlineStr">
        <is>
          <t>PAID_DUITNOW</t>
        </is>
      </c>
      <c r="J23" s="18" t="inlineStr">
        <is>
          <t>DELIVERED</t>
        </is>
      </c>
      <c r="K23" s="22" t="inlineStr">
        <is>
          <t>8842</t>
        </is>
      </c>
      <c r="L23" s="18" t="inlineStr">
        <is>
          <t>TEXT</t>
        </is>
      </c>
      <c r="M23" s="13" t="inlineStr">
        <is>
          <t>Smoothie cups</t>
        </is>
      </c>
      <c r="N23" s="11">
        <f>H23*G23</f>
        <v/>
      </c>
      <c r="O23" s="11">
        <f>(H23-VLOOKUP(D23,'0_SKU'!$A$2:$C$7,3,FALSE))*G23</f>
        <v/>
      </c>
      <c r="P23" s="11">
        <f>VLOOKUP(D23,'0_SKU'!$A$2:$C$7,3,FALSE)*G23</f>
        <v/>
      </c>
    </row>
    <row r="24" ht="21" customHeight="1">
      <c r="A24" s="24" t="inlineStr">
        <is>
          <t>B02</t>
        </is>
      </c>
      <c r="B24" s="25" t="inlineStr">
        <is>
          <t>2026-10-22</t>
        </is>
      </c>
      <c r="C24" s="24" t="inlineStr">
        <is>
          <t>S05</t>
        </is>
      </c>
      <c r="D24" s="24" t="inlineStr">
        <is>
          <t>B1</t>
        </is>
      </c>
      <c r="E24" s="25" t="inlineStr">
        <is>
          <t>PREORDER</t>
        </is>
      </c>
      <c r="F24" s="26" t="n">
        <v>6</v>
      </c>
      <c r="G24" s="26" t="n">
        <v>6</v>
      </c>
      <c r="H24" s="27" t="n">
        <v>12.5</v>
      </c>
      <c r="I24" s="25" t="inlineStr">
        <is>
          <t>PAID_CASH</t>
        </is>
      </c>
      <c r="J24" s="25" t="inlineStr">
        <is>
          <t>DELIVERED</t>
        </is>
      </c>
      <c r="K24" s="28" t="inlineStr"/>
      <c r="L24" s="25" t="inlineStr">
        <is>
          <t>TEXT</t>
        </is>
      </c>
      <c r="M24" s="29" t="inlineStr">
        <is>
          <t>Right-sized order, paid full cash</t>
        </is>
      </c>
      <c r="N24" s="30">
        <f>H24*G24</f>
        <v/>
      </c>
      <c r="O24" s="30">
        <f>(H24-VLOOKUP(D24,'0_SKU'!$A$2:$C$7,3,FALSE))*G24</f>
        <v/>
      </c>
      <c r="P24" s="30">
        <f>VLOOKUP(D24,'0_SKU'!$A$2:$C$7,3,FALSE)*G24</f>
        <v/>
      </c>
    </row>
    <row r="25" ht="21" customHeight="1">
      <c r="A25" s="9" t="inlineStr">
        <is>
          <t>B02</t>
        </is>
      </c>
      <c r="B25" s="18" t="inlineStr">
        <is>
          <t>2026-10-22</t>
        </is>
      </c>
      <c r="C25" s="9" t="inlineStr">
        <is>
          <t>S06</t>
        </is>
      </c>
      <c r="D25" s="9" t="inlineStr">
        <is>
          <t>A1</t>
        </is>
      </c>
      <c r="E25" s="18" t="inlineStr">
        <is>
          <t>PREORDER</t>
        </is>
      </c>
      <c r="F25" s="10" t="n">
        <v>10</v>
      </c>
      <c r="G25" s="10" t="n">
        <v>10</v>
      </c>
      <c r="H25" s="12" t="n">
        <v>15</v>
      </c>
      <c r="I25" s="18" t="inlineStr">
        <is>
          <t>PAID_DUITNOW</t>
        </is>
      </c>
      <c r="J25" s="18" t="inlineStr">
        <is>
          <t>DELIVERED</t>
        </is>
      </c>
      <c r="K25" s="22" t="inlineStr">
        <is>
          <t>2049</t>
        </is>
      </c>
      <c r="L25" s="18" t="inlineStr">
        <is>
          <t>TEXT</t>
        </is>
      </c>
      <c r="M25" s="13" t="inlineStr">
        <is>
          <t>Paid QR before runner unloaded</t>
        </is>
      </c>
      <c r="N25" s="11">
        <f>H25*G25</f>
        <v/>
      </c>
      <c r="O25" s="11">
        <f>(H25-VLOOKUP(D25,'0_SKU'!$A$2:$C$7,3,FALSE))*G25</f>
        <v/>
      </c>
      <c r="P25" s="11">
        <f>VLOOKUP(D25,'0_SKU'!$A$2:$C$7,3,FALSE)*G25</f>
        <v/>
      </c>
    </row>
    <row r="26" ht="21" customHeight="1">
      <c r="A26" s="24" t="inlineStr">
        <is>
          <t>B02</t>
        </is>
      </c>
      <c r="B26" s="25" t="inlineStr">
        <is>
          <t>2026-10-22</t>
        </is>
      </c>
      <c r="C26" s="24" t="inlineStr">
        <is>
          <t>S06</t>
        </is>
      </c>
      <c r="D26" s="24" t="inlineStr">
        <is>
          <t>A2</t>
        </is>
      </c>
      <c r="E26" s="25" t="inlineStr">
        <is>
          <t>PREORDER</t>
        </is>
      </c>
      <c r="F26" s="26" t="n">
        <v>11</v>
      </c>
      <c r="G26" s="26" t="n">
        <v>11</v>
      </c>
      <c r="H26" s="27" t="n">
        <v>13.5</v>
      </c>
      <c r="I26" s="25" t="inlineStr">
        <is>
          <t>PAID_DUITNOW</t>
        </is>
      </c>
      <c r="J26" s="25" t="inlineStr">
        <is>
          <t>DELIVERED</t>
        </is>
      </c>
      <c r="K26" s="28" t="inlineStr">
        <is>
          <t>2049</t>
        </is>
      </c>
      <c r="L26" s="25" t="inlineStr">
        <is>
          <t>TEXT</t>
        </is>
      </c>
      <c r="M26" s="29" t="inlineStr">
        <is>
          <t>Used 1 bundle from B01 buffer</t>
        </is>
      </c>
      <c r="N26" s="30">
        <f>H26*G26</f>
        <v/>
      </c>
      <c r="O26" s="30">
        <f>(H26-VLOOKUP(D26,'0_SKU'!$A$2:$C$7,3,FALSE))*G26</f>
        <v/>
      </c>
      <c r="P26" s="30">
        <f>VLOOKUP(D26,'0_SKU'!$A$2:$C$7,3,FALSE)*G26</f>
        <v/>
      </c>
    </row>
    <row r="27" ht="21" customHeight="1">
      <c r="A27" s="9" t="inlineStr">
        <is>
          <t>B02</t>
        </is>
      </c>
      <c r="B27" s="18" t="inlineStr">
        <is>
          <t>2026-10-22</t>
        </is>
      </c>
      <c r="C27" s="9" t="inlineStr">
        <is>
          <t>S07</t>
        </is>
      </c>
      <c r="D27" s="9" t="inlineStr">
        <is>
          <t>C1</t>
        </is>
      </c>
      <c r="E27" s="18" t="inlineStr">
        <is>
          <t>PREORDER</t>
        </is>
      </c>
      <c r="F27" s="10" t="n">
        <v>13</v>
      </c>
      <c r="G27" s="10" t="n">
        <v>13</v>
      </c>
      <c r="H27" s="12" t="n">
        <v>13.5</v>
      </c>
      <c r="I27" s="18" t="inlineStr">
        <is>
          <t>PAID_CASH</t>
        </is>
      </c>
      <c r="J27" s="18" t="inlineStr">
        <is>
          <t>DELIVERED</t>
        </is>
      </c>
      <c r="K27" s="22" t="inlineStr"/>
      <c r="L27" s="18" t="inlineStr">
        <is>
          <t>TEXT</t>
        </is>
      </c>
      <c r="M27" s="13" t="inlineStr">
        <is>
          <t>1 ctn + 1 bundle from B01 buffer</t>
        </is>
      </c>
      <c r="N27" s="11">
        <f>H27*G27</f>
        <v/>
      </c>
      <c r="O27" s="11">
        <f>(H27-VLOOKUP(D27,'0_SKU'!$A$2:$C$7,3,FALSE))*G27</f>
        <v/>
      </c>
      <c r="P27" s="11">
        <f>VLOOKUP(D27,'0_SKU'!$A$2:$C$7,3,FALSE)*G27</f>
        <v/>
      </c>
    </row>
    <row r="28" ht="21" customHeight="1">
      <c r="A28" s="24" t="inlineStr">
        <is>
          <t>B02</t>
        </is>
      </c>
      <c r="B28" s="25" t="inlineStr">
        <is>
          <t>2026-10-22</t>
        </is>
      </c>
      <c r="C28" s="24" t="inlineStr">
        <is>
          <t>S07</t>
        </is>
      </c>
      <c r="D28" s="24" t="inlineStr">
        <is>
          <t>E1</t>
        </is>
      </c>
      <c r="E28" s="25" t="inlineStr">
        <is>
          <t>PREORDER</t>
        </is>
      </c>
      <c r="F28" s="26" t="n">
        <v>5</v>
      </c>
      <c r="G28" s="26" t="n">
        <v>5</v>
      </c>
      <c r="H28" s="27" t="n">
        <v>10.5</v>
      </c>
      <c r="I28" s="25" t="inlineStr">
        <is>
          <t>PAID_CASH</t>
        </is>
      </c>
      <c r="J28" s="25" t="inlineStr">
        <is>
          <t>DELIVERED</t>
        </is>
      </c>
      <c r="K28" s="28" t="inlineStr"/>
      <c r="L28" s="25" t="inlineStr">
        <is>
          <t>TEXT</t>
        </is>
      </c>
      <c r="M28" s="29" t="inlineStr">
        <is>
          <t>Singlet bags</t>
        </is>
      </c>
      <c r="N28" s="30">
        <f>H28*G28</f>
        <v/>
      </c>
      <c r="O28" s="30">
        <f>(H28-VLOOKUP(D28,'0_SKU'!$A$2:$C$7,3,FALSE))*G28</f>
        <v/>
      </c>
      <c r="P28" s="30">
        <f>VLOOKUP(D28,'0_SKU'!$A$2:$C$7,3,FALSE)*G28</f>
        <v/>
      </c>
    </row>
    <row r="29" ht="21" customHeight="1">
      <c r="A29" s="9" t="inlineStr">
        <is>
          <t>B02</t>
        </is>
      </c>
      <c r="B29" s="18" t="inlineStr">
        <is>
          <t>2026-10-22</t>
        </is>
      </c>
      <c r="C29" s="9" t="inlineStr">
        <is>
          <t>S08</t>
        </is>
      </c>
      <c r="D29" s="9" t="inlineStr">
        <is>
          <t>B1</t>
        </is>
      </c>
      <c r="E29" s="18" t="inlineStr">
        <is>
          <t>PREORDER</t>
        </is>
      </c>
      <c r="F29" s="10" t="n">
        <v>10</v>
      </c>
      <c r="G29" s="23" t="n">
        <v>6</v>
      </c>
      <c r="H29" s="12" t="n">
        <v>12.5</v>
      </c>
      <c r="I29" s="18" t="inlineStr">
        <is>
          <t>PAID_DUITNOW</t>
        </is>
      </c>
      <c r="J29" s="20" t="inlineStr">
        <is>
          <t>PARTIAL</t>
        </is>
      </c>
      <c r="K29" s="22" t="inlineStr">
        <is>
          <t>3319</t>
        </is>
      </c>
      <c r="L29" s="18" t="inlineStr">
        <is>
          <t>VOICE_CONFIRMED</t>
        </is>
      </c>
      <c r="M29" s="13" t="inlineStr">
        <is>
          <t>Wholesaler short 1 ctn B1; used B01 buffer</t>
        </is>
      </c>
      <c r="N29" s="11">
        <f>H29*G29</f>
        <v/>
      </c>
      <c r="O29" s="11">
        <f>(H29-VLOOKUP(D29,'0_SKU'!$A$2:$C$7,3,FALSE))*G29</f>
        <v/>
      </c>
      <c r="P29" s="11">
        <f>VLOOKUP(D29,'0_SKU'!$A$2:$C$7,3,FALSE)*G29</f>
        <v/>
      </c>
    </row>
    <row r="30" ht="21" customHeight="1">
      <c r="A30" s="24" t="inlineStr">
        <is>
          <t>B02</t>
        </is>
      </c>
      <c r="B30" s="25" t="inlineStr">
        <is>
          <t>2026-10-22</t>
        </is>
      </c>
      <c r="C30" s="24" t="inlineStr">
        <is>
          <t>S09</t>
        </is>
      </c>
      <c r="D30" s="24" t="inlineStr">
        <is>
          <t>D1</t>
        </is>
      </c>
      <c r="E30" s="25" t="inlineStr">
        <is>
          <t>PREORDER</t>
        </is>
      </c>
      <c r="F30" s="26" t="n">
        <v>10</v>
      </c>
      <c r="G30" s="26" t="n">
        <v>10</v>
      </c>
      <c r="H30" s="27" t="n">
        <v>21</v>
      </c>
      <c r="I30" s="25" t="inlineStr">
        <is>
          <t>PAID_DUITNOW</t>
        </is>
      </c>
      <c r="J30" s="25" t="inlineStr">
        <is>
          <t>DELIVERED</t>
        </is>
      </c>
      <c r="K30" s="28" t="inlineStr">
        <is>
          <t>9951</t>
        </is>
      </c>
      <c r="L30" s="25" t="inlineStr">
        <is>
          <t>TEXT</t>
        </is>
      </c>
      <c r="M30" s="29" t="inlineStr">
        <is>
          <t>1 ctn + 2 bundles from B01 buffer</t>
        </is>
      </c>
      <c r="N30" s="30">
        <f>H30*G30</f>
        <v/>
      </c>
      <c r="O30" s="30">
        <f>(H30-VLOOKUP(D30,'0_SKU'!$A$2:$C$7,3,FALSE))*G30</f>
        <v/>
      </c>
      <c r="P30" s="30">
        <f>VLOOKUP(D30,'0_SKU'!$A$2:$C$7,3,FALSE)*G30</f>
        <v/>
      </c>
    </row>
    <row r="31" ht="21" customHeight="1">
      <c r="A31" s="9" t="inlineStr">
        <is>
          <t>B02</t>
        </is>
      </c>
      <c r="B31" s="18" t="inlineStr">
        <is>
          <t>2026-10-22</t>
        </is>
      </c>
      <c r="C31" s="9" t="inlineStr">
        <is>
          <t>S09</t>
        </is>
      </c>
      <c r="D31" s="9" t="inlineStr">
        <is>
          <t>B1</t>
        </is>
      </c>
      <c r="E31" s="18" t="inlineStr">
        <is>
          <t>PREORDER</t>
        </is>
      </c>
      <c r="F31" s="10" t="n">
        <v>4</v>
      </c>
      <c r="G31" s="10" t="n">
        <v>4</v>
      </c>
      <c r="H31" s="12" t="n">
        <v>12.5</v>
      </c>
      <c r="I31" s="18" t="inlineStr">
        <is>
          <t>PAID_DUITNOW</t>
        </is>
      </c>
      <c r="J31" s="18" t="inlineStr">
        <is>
          <t>DELIVERED</t>
        </is>
      </c>
      <c r="K31" s="22" t="inlineStr">
        <is>
          <t>9951</t>
        </is>
      </c>
      <c r="L31" s="18" t="inlineStr">
        <is>
          <t>TEXT</t>
        </is>
      </c>
      <c r="M31" s="13" t="inlineStr">
        <is>
          <t>Toast boxes</t>
        </is>
      </c>
      <c r="N31" s="11">
        <f>H31*G31</f>
        <v/>
      </c>
      <c r="O31" s="11">
        <f>(H31-VLOOKUP(D31,'0_SKU'!$A$2:$C$7,3,FALSE))*G31</f>
        <v/>
      </c>
      <c r="P31" s="11">
        <f>VLOOKUP(D31,'0_SKU'!$A$2:$C$7,3,FALSE)*G31</f>
        <v/>
      </c>
    </row>
    <row r="32" ht="21" customHeight="1">
      <c r="A32" s="24" t="inlineStr">
        <is>
          <t>B02</t>
        </is>
      </c>
      <c r="B32" s="25" t="inlineStr">
        <is>
          <t>2026-10-22</t>
        </is>
      </c>
      <c r="C32" s="24" t="inlineStr">
        <is>
          <t>S10</t>
        </is>
      </c>
      <c r="D32" s="24" t="inlineStr">
        <is>
          <t>C1</t>
        </is>
      </c>
      <c r="E32" s="25" t="inlineStr">
        <is>
          <t>SPOT</t>
        </is>
      </c>
      <c r="F32" s="26" t="n">
        <v>2</v>
      </c>
      <c r="G32" s="26" t="n">
        <v>2</v>
      </c>
      <c r="H32" s="27" t="n">
        <v>13.5</v>
      </c>
      <c r="I32" s="25" t="inlineStr">
        <is>
          <t>PAID_CASH</t>
        </is>
      </c>
      <c r="J32" s="25" t="inlineStr">
        <is>
          <t>DELIVERED</t>
        </is>
      </c>
      <c r="K32" s="28" t="inlineStr"/>
      <c r="L32" s="25" t="inlineStr">
        <is>
          <t>SPOT</t>
        </is>
      </c>
      <c r="M32" s="29" t="inlineStr">
        <is>
          <t>Walk-up spot sale from B01 buffer stock</t>
        </is>
      </c>
      <c r="N32" s="30">
        <f>H32*G32</f>
        <v/>
      </c>
      <c r="O32" s="30">
        <f>(H32-VLOOKUP(D32,'0_SKU'!$A$2:$C$7,3,FALSE))*G32</f>
        <v/>
      </c>
      <c r="P32" s="30">
        <f>VLOOKUP(D32,'0_SKU'!$A$2:$C$7,3,FALSE)*G32</f>
        <v/>
      </c>
    </row>
  </sheetData>
  <autoFilter ref="A1:P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9" customWidth="1" min="4" max="4"/>
    <col width="16" customWidth="1" min="5" max="5"/>
    <col width="25" customWidth="1" min="6" max="6"/>
    <col width="26" customWidth="1" min="7" max="7"/>
    <col width="16" customWidth="1" min="8" max="8"/>
    <col width="23" customWidth="1" min="9" max="9"/>
    <col width="22" customWidth="1" min="10" max="10"/>
  </cols>
  <sheetData>
    <row r="1" ht="28" customHeight="1">
      <c r="A1" s="1" t="inlineStr">
        <is>
          <t>batch_id</t>
        </is>
      </c>
      <c r="B1" s="1" t="inlineStr">
        <is>
          <t>sku_code</t>
        </is>
      </c>
      <c r="C1" s="1" t="inlineStr">
        <is>
          <t>cartons_ordered</t>
        </is>
      </c>
      <c r="D1" s="1" t="inlineStr">
        <is>
          <t>cartons_received</t>
        </is>
      </c>
      <c r="E1" s="1" t="inlineStr">
        <is>
          <t>carton_cost</t>
        </is>
      </c>
      <c r="F1" s="1" t="inlineStr">
        <is>
          <t>carton_geometric_liters</t>
        </is>
      </c>
      <c r="G1" s="1" t="inlineStr">
        <is>
          <t>physical_boxes_per_carton</t>
        </is>
      </c>
      <c r="H1" s="1" t="inlineStr">
        <is>
          <t>cash_paid</t>
        </is>
      </c>
      <c r="I1" s="2" t="inlineStr">
        <is>
          <t>total_geometric_liters</t>
        </is>
      </c>
      <c r="J1" s="2" t="inlineStr">
        <is>
          <t>total_physical_boxes</t>
        </is>
      </c>
    </row>
    <row r="2" ht="22" customHeight="1">
      <c r="A2" s="4" t="inlineStr">
        <is>
          <t>B01</t>
        </is>
      </c>
      <c r="B2" s="4" t="inlineStr">
        <is>
          <t>A1</t>
        </is>
      </c>
      <c r="C2" s="5" t="n">
        <v>3</v>
      </c>
      <c r="D2" s="5" t="n">
        <v>3</v>
      </c>
      <c r="E2" s="7" t="n">
        <v>135</v>
      </c>
      <c r="F2" s="31" t="n">
        <v>92.5</v>
      </c>
      <c r="G2" s="5" t="n">
        <v>2</v>
      </c>
      <c r="H2" s="6">
        <f>D2*E2</f>
        <v/>
      </c>
      <c r="I2" s="32">
        <f>D2*F2</f>
        <v/>
      </c>
      <c r="J2" s="33">
        <f>D2*G2</f>
        <v/>
      </c>
    </row>
    <row r="3" ht="22" customHeight="1">
      <c r="A3" s="9" t="inlineStr">
        <is>
          <t>B01</t>
        </is>
      </c>
      <c r="B3" s="9" t="inlineStr">
        <is>
          <t>A2</t>
        </is>
      </c>
      <c r="C3" s="10" t="n">
        <v>2</v>
      </c>
      <c r="D3" s="10" t="n">
        <v>2</v>
      </c>
      <c r="E3" s="12" t="n">
        <v>120</v>
      </c>
      <c r="F3" s="34" t="n">
        <v>84</v>
      </c>
      <c r="G3" s="10" t="n">
        <v>2</v>
      </c>
      <c r="H3" s="11">
        <f>D3*E3</f>
        <v/>
      </c>
      <c r="I3" s="35">
        <f>D3*F3</f>
        <v/>
      </c>
      <c r="J3" s="36">
        <f>D3*G3</f>
        <v/>
      </c>
    </row>
    <row r="4" ht="22" customHeight="1">
      <c r="A4" s="4" t="inlineStr">
        <is>
          <t>B01</t>
        </is>
      </c>
      <c r="B4" s="4" t="inlineStr">
        <is>
          <t>B1</t>
        </is>
      </c>
      <c r="C4" s="5" t="n">
        <v>3</v>
      </c>
      <c r="D4" s="5" t="n">
        <v>3</v>
      </c>
      <c r="E4" s="7" t="n">
        <v>110</v>
      </c>
      <c r="F4" s="31" t="n">
        <v>76</v>
      </c>
      <c r="G4" s="5" t="n">
        <v>1</v>
      </c>
      <c r="H4" s="6">
        <f>D4*E4</f>
        <v/>
      </c>
      <c r="I4" s="32">
        <f>D4*F4</f>
        <v/>
      </c>
      <c r="J4" s="33">
        <f>D4*G4</f>
        <v/>
      </c>
    </row>
    <row r="5" ht="22" customHeight="1">
      <c r="A5" s="9" t="inlineStr">
        <is>
          <t>B01</t>
        </is>
      </c>
      <c r="B5" s="9" t="inlineStr">
        <is>
          <t>C1</t>
        </is>
      </c>
      <c r="C5" s="10" t="n">
        <v>2</v>
      </c>
      <c r="D5" s="10" t="n">
        <v>2</v>
      </c>
      <c r="E5" s="12" t="n">
        <v>144</v>
      </c>
      <c r="F5" s="34" t="n">
        <v>68.5</v>
      </c>
      <c r="G5" s="10" t="n">
        <v>1</v>
      </c>
      <c r="H5" s="11">
        <f>D5*E5</f>
        <v/>
      </c>
      <c r="I5" s="35">
        <f>D5*F5</f>
        <v/>
      </c>
      <c r="J5" s="36">
        <f>D5*G5</f>
        <v/>
      </c>
    </row>
    <row r="6" ht="22" customHeight="1">
      <c r="A6" s="4" t="inlineStr">
        <is>
          <t>B01</t>
        </is>
      </c>
      <c r="B6" s="4" t="inlineStr">
        <is>
          <t>D1</t>
        </is>
      </c>
      <c r="C6" s="5" t="n">
        <v>2</v>
      </c>
      <c r="D6" s="5" t="n">
        <v>2</v>
      </c>
      <c r="E6" s="7" t="n">
        <v>160</v>
      </c>
      <c r="F6" s="31" t="n">
        <v>28</v>
      </c>
      <c r="G6" s="5" t="n">
        <v>1</v>
      </c>
      <c r="H6" s="6">
        <f>D6*E6</f>
        <v/>
      </c>
      <c r="I6" s="32">
        <f>D6*F6</f>
        <v/>
      </c>
      <c r="J6" s="33">
        <f>D6*G6</f>
        <v/>
      </c>
    </row>
    <row r="7" ht="22" customHeight="1">
      <c r="A7" s="9" t="inlineStr">
        <is>
          <t>B01</t>
        </is>
      </c>
      <c r="B7" s="9" t="inlineStr">
        <is>
          <t>E1</t>
        </is>
      </c>
      <c r="C7" s="10" t="n">
        <v>1</v>
      </c>
      <c r="D7" s="10" t="n">
        <v>1</v>
      </c>
      <c r="E7" s="12" t="n">
        <v>90</v>
      </c>
      <c r="F7" s="34" t="n">
        <v>35</v>
      </c>
      <c r="G7" s="10" t="n">
        <v>1</v>
      </c>
      <c r="H7" s="11">
        <f>D7*E7</f>
        <v/>
      </c>
      <c r="I7" s="35">
        <f>D7*F7</f>
        <v/>
      </c>
      <c r="J7" s="36">
        <f>D7*G7</f>
        <v/>
      </c>
    </row>
    <row r="8" ht="22" customHeight="1">
      <c r="A8" s="24" t="inlineStr">
        <is>
          <t>B02</t>
        </is>
      </c>
      <c r="B8" s="24" t="inlineStr">
        <is>
          <t>A1</t>
        </is>
      </c>
      <c r="C8" s="26" t="n">
        <v>3</v>
      </c>
      <c r="D8" s="26" t="n">
        <v>3</v>
      </c>
      <c r="E8" s="27" t="n">
        <v>135</v>
      </c>
      <c r="F8" s="37" t="n">
        <v>92.5</v>
      </c>
      <c r="G8" s="26" t="n">
        <v>2</v>
      </c>
      <c r="H8" s="30">
        <f>D8*E8</f>
        <v/>
      </c>
      <c r="I8" s="38">
        <f>D8*F8</f>
        <v/>
      </c>
      <c r="J8" s="39">
        <f>D8*G8</f>
        <v/>
      </c>
    </row>
    <row r="9" ht="22" customHeight="1">
      <c r="A9" s="9" t="inlineStr">
        <is>
          <t>B02</t>
        </is>
      </c>
      <c r="B9" s="9" t="inlineStr">
        <is>
          <t>A2</t>
        </is>
      </c>
      <c r="C9" s="10" t="n">
        <v>2</v>
      </c>
      <c r="D9" s="10" t="n">
        <v>2</v>
      </c>
      <c r="E9" s="12" t="n">
        <v>120</v>
      </c>
      <c r="F9" s="34" t="n">
        <v>84</v>
      </c>
      <c r="G9" s="10" t="n">
        <v>2</v>
      </c>
      <c r="H9" s="11">
        <f>D9*E9</f>
        <v/>
      </c>
      <c r="I9" s="35">
        <f>D9*F9</f>
        <v/>
      </c>
      <c r="J9" s="36">
        <f>D9*G9</f>
        <v/>
      </c>
    </row>
    <row r="10" ht="22" customHeight="1">
      <c r="A10" s="24" t="inlineStr">
        <is>
          <t>B02</t>
        </is>
      </c>
      <c r="B10" s="24" t="inlineStr">
        <is>
          <t>B1</t>
        </is>
      </c>
      <c r="C10" s="26" t="n">
        <v>3</v>
      </c>
      <c r="D10" s="23" t="n">
        <v>2</v>
      </c>
      <c r="E10" s="27" t="n">
        <v>110</v>
      </c>
      <c r="F10" s="37" t="n">
        <v>76</v>
      </c>
      <c r="G10" s="26" t="n">
        <v>1</v>
      </c>
      <c r="H10" s="30">
        <f>D10*E10</f>
        <v/>
      </c>
      <c r="I10" s="38">
        <f>D10*F10</f>
        <v/>
      </c>
      <c r="J10" s="39">
        <f>D10*G10</f>
        <v/>
      </c>
    </row>
    <row r="11" ht="22" customHeight="1">
      <c r="A11" s="9" t="inlineStr">
        <is>
          <t>B02</t>
        </is>
      </c>
      <c r="B11" s="9" t="inlineStr">
        <is>
          <t>C1</t>
        </is>
      </c>
      <c r="C11" s="10" t="n">
        <v>2</v>
      </c>
      <c r="D11" s="10" t="n">
        <v>2</v>
      </c>
      <c r="E11" s="12" t="n">
        <v>144</v>
      </c>
      <c r="F11" s="34" t="n">
        <v>68.5</v>
      </c>
      <c r="G11" s="10" t="n">
        <v>1</v>
      </c>
      <c r="H11" s="11">
        <f>D11*E11</f>
        <v/>
      </c>
      <c r="I11" s="35">
        <f>D11*F11</f>
        <v/>
      </c>
      <c r="J11" s="36">
        <f>D11*G11</f>
        <v/>
      </c>
    </row>
    <row r="12" ht="22" customHeight="1">
      <c r="A12" s="24" t="inlineStr">
        <is>
          <t>B02</t>
        </is>
      </c>
      <c r="B12" s="24" t="inlineStr">
        <is>
          <t>D1</t>
        </is>
      </c>
      <c r="C12" s="26" t="n">
        <v>2</v>
      </c>
      <c r="D12" s="26" t="n">
        <v>2</v>
      </c>
      <c r="E12" s="27" t="n">
        <v>160</v>
      </c>
      <c r="F12" s="37" t="n">
        <v>28</v>
      </c>
      <c r="G12" s="26" t="n">
        <v>1</v>
      </c>
      <c r="H12" s="30">
        <f>D12*E12</f>
        <v/>
      </c>
      <c r="I12" s="38">
        <f>D12*F12</f>
        <v/>
      </c>
      <c r="J12" s="39">
        <f>D12*G12</f>
        <v/>
      </c>
    </row>
    <row r="13" ht="22" customHeight="1">
      <c r="A13" s="9" t="inlineStr">
        <is>
          <t>B02</t>
        </is>
      </c>
      <c r="B13" s="9" t="inlineStr">
        <is>
          <t>E1</t>
        </is>
      </c>
      <c r="C13" s="10" t="n">
        <v>1</v>
      </c>
      <c r="D13" s="10" t="n">
        <v>1</v>
      </c>
      <c r="E13" s="12" t="n">
        <v>90</v>
      </c>
      <c r="F13" s="34" t="n">
        <v>35</v>
      </c>
      <c r="G13" s="10" t="n">
        <v>1</v>
      </c>
      <c r="H13" s="11">
        <f>D13*E13</f>
        <v/>
      </c>
      <c r="I13" s="35">
        <f>D13*F13</f>
        <v/>
      </c>
      <c r="J13" s="36">
        <f>D13*G13</f>
        <v/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6A3C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21" customWidth="1" min="5" max="5"/>
    <col width="21" customWidth="1" min="6" max="6"/>
    <col width="18" customWidth="1" min="7" max="7"/>
    <col width="15" customWidth="1" min="8" max="8"/>
    <col width="15" customWidth="1" min="9" max="9"/>
    <col width="18" customWidth="1" min="10" max="10"/>
  </cols>
  <sheetData>
    <row r="1" ht="28" customHeight="1">
      <c r="A1" s="1" t="inlineStr">
        <is>
          <t>batch_id</t>
        </is>
      </c>
      <c r="B1" s="1" t="inlineStr">
        <is>
          <t>gmv_delivered</t>
        </is>
      </c>
      <c r="C1" s="1" t="inlineStr">
        <is>
          <t>cogs_cash</t>
        </is>
      </c>
      <c r="D1" s="1" t="inlineStr">
        <is>
          <t>realized_gp</t>
        </is>
      </c>
      <c r="E1" s="1" t="inlineStr">
        <is>
          <t>opening_buffer_cost</t>
        </is>
      </c>
      <c r="F1" s="1" t="inlineStr">
        <is>
          <t>closing_buffer_cost</t>
        </is>
      </c>
      <c r="G1" s="1" t="inlineStr">
        <is>
          <t>cash_collected</t>
        </is>
      </c>
      <c r="H1" s="1" t="inlineStr">
        <is>
          <t>runner_paid</t>
        </is>
      </c>
      <c r="I1" s="1" t="inlineStr">
        <is>
          <t>net_cash</t>
        </is>
      </c>
      <c r="J1" s="1" t="inlineStr">
        <is>
          <t>identity_check</t>
        </is>
      </c>
    </row>
    <row r="2" ht="24" customHeight="1">
      <c r="A2" s="4" t="inlineStr">
        <is>
          <t>B01</t>
        </is>
      </c>
      <c r="B2" s="6">
        <f>SUMIFS('2_Orders'!$N:$N, '2_Orders'!$A:$A, $A2)</f>
        <v/>
      </c>
      <c r="C2" s="6">
        <f>SUMIFS('3_PO'!$H:$H, '3_PO'!$A:$A, $A2)</f>
        <v/>
      </c>
      <c r="D2" s="6">
        <f>SUMIFS('2_Orders'!$O:$O, '2_Orders'!$A:$A, $A2)</f>
        <v/>
      </c>
      <c r="E2" s="6" t="n">
        <v>0</v>
      </c>
      <c r="F2" s="6">
        <f>E2 + C2 - SUMIFS('2_Orders'!$P:$P, '2_Orders'!$A:$A, $A2)</f>
        <v/>
      </c>
      <c r="G2" s="6">
        <f>B2</f>
        <v/>
      </c>
      <c r="H2" s="6" t="n">
        <v>42.5</v>
      </c>
      <c r="I2" s="6">
        <f>G2 - C2 - H2</f>
        <v/>
      </c>
      <c r="J2" s="40">
        <f>D2 - (F2 - E2) - H2 - I2</f>
        <v/>
      </c>
    </row>
    <row r="3" ht="24" customHeight="1">
      <c r="A3" s="24" t="inlineStr">
        <is>
          <t>B02</t>
        </is>
      </c>
      <c r="B3" s="30">
        <f>SUMIFS('2_Orders'!$N:$N, '2_Orders'!$A:$A, $A3)</f>
        <v/>
      </c>
      <c r="C3" s="30">
        <f>SUMIFS('3_PO'!$H:$H, '3_PO'!$A:$A, $A3)</f>
        <v/>
      </c>
      <c r="D3" s="30">
        <f>SUMIFS('2_Orders'!$O:$O, '2_Orders'!$A:$A, $A3)</f>
        <v/>
      </c>
      <c r="E3" s="30">
        <f>F2</f>
        <v/>
      </c>
      <c r="F3" s="30">
        <f>E3 + C3 - SUMIFS('2_Orders'!$P:$P, '2_Orders'!$A:$A, $A3)</f>
        <v/>
      </c>
      <c r="G3" s="30">
        <f>B3</f>
        <v/>
      </c>
      <c r="H3" s="30" t="n">
        <v>42.5</v>
      </c>
      <c r="I3" s="30">
        <f>G3 - C3 - H3</f>
        <v/>
      </c>
      <c r="J3" s="40">
        <f>D3 - (F3 - E3) - H3 - I3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6A3C"/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32" customWidth="1" min="4" max="4"/>
    <col width="18" customWidth="1" min="5" max="5"/>
    <col width="16" customWidth="1" min="6" max="6"/>
    <col width="16" customWidth="1" min="7" max="7"/>
  </cols>
  <sheetData>
    <row r="1" ht="28" customHeight="1">
      <c r="A1" s="1" t="inlineStr">
        <is>
          <t>batch_id</t>
        </is>
      </c>
      <c r="B1" s="1" t="inlineStr">
        <is>
          <t>gmv_delivered</t>
        </is>
      </c>
      <c r="C1" s="1" t="inlineStr">
        <is>
          <t>gmv_pass</t>
        </is>
      </c>
      <c r="D1" s="1" t="inlineStr">
        <is>
          <t>realized_gp</t>
        </is>
      </c>
      <c r="E1" s="1" t="inlineStr">
        <is>
          <t>gp_pass</t>
        </is>
      </c>
      <c r="F1" s="1" t="inlineStr">
        <is>
          <t>batch_pass</t>
        </is>
      </c>
      <c r="G1" s="1" t="inlineStr">
        <is>
          <t>stalls_active</t>
        </is>
      </c>
    </row>
    <row r="2" ht="22" customHeight="1">
      <c r="A2" s="4" t="inlineStr">
        <is>
          <t>B01</t>
        </is>
      </c>
      <c r="B2" s="6">
        <f>'4_Batch_PnL'!B2</f>
        <v/>
      </c>
      <c r="C2" s="41">
        <f>B2&gt;=1500</f>
        <v/>
      </c>
      <c r="D2" s="6">
        <f>'4_Batch_PnL'!D2</f>
        <v/>
      </c>
      <c r="E2" s="41">
        <f>D2&gt;=150</f>
        <v/>
      </c>
      <c r="F2" s="41">
        <f>AND(C2,E2)</f>
        <v/>
      </c>
      <c r="G2" s="42" t="n">
        <v>9</v>
      </c>
    </row>
    <row r="3" ht="22" customHeight="1">
      <c r="A3" s="24" t="inlineStr">
        <is>
          <t>B02</t>
        </is>
      </c>
      <c r="B3" s="30">
        <f>'4_Batch_PnL'!B3</f>
        <v/>
      </c>
      <c r="C3" s="41">
        <f>B3&gt;=1500</f>
        <v/>
      </c>
      <c r="D3" s="30">
        <f>'4_Batch_PnL'!D3</f>
        <v/>
      </c>
      <c r="E3" s="41">
        <f>D3&gt;=150</f>
        <v/>
      </c>
      <c r="F3" s="41">
        <f>AND(C3,E3)</f>
        <v/>
      </c>
      <c r="G3" s="43" t="n">
        <v>9</v>
      </c>
    </row>
    <row r="5">
      <c r="A5" s="44" t="inlineStr">
        <is>
          <t>PHASE 2 GATE VERDICT</t>
        </is>
      </c>
    </row>
    <row r="6" ht="24" customHeight="1">
      <c r="A6" s="45" t="inlineStr">
        <is>
          <t>Gate Requirement</t>
        </is>
      </c>
      <c r="B6" s="45" t="inlineStr">
        <is>
          <t>Consecutive Pass Count</t>
        </is>
      </c>
      <c r="C6" s="45" t="inlineStr">
        <is>
          <t>Gate Status</t>
        </is>
      </c>
      <c r="D6" s="46" t="inlineStr">
        <is>
          <t>Next Required Action</t>
        </is>
      </c>
    </row>
    <row r="7" ht="26" customHeight="1">
      <c r="A7" s="47" t="inlineStr">
        <is>
          <t>&gt;= RM 1,500 GMV &amp; &gt;= RM 150 GP (2 consecutive weeks)</t>
        </is>
      </c>
      <c r="B7" s="48">
        <f>COUNTIF(F2:F3, TRUE)</f>
        <v/>
      </c>
      <c r="C7" s="49">
        <f>IF(AND(F2,F3), "GATE CLEARED", "GATE FAILED")</f>
        <v/>
      </c>
      <c r="D7" s="50">
        <f>IF(AND(F2,F3), "Proceed to Phase 2 (/to-spec)", IF(AND(NOT(AND(C2,C3)), AND(E2,E3)), "Volume problem — recruit Stalls, don't build", IF(AND(AND(C2,C3), NOT(AND(E2,E3))), "Margin problem — renegotiate cost, don't build", "The model needs revisiting before any code")))</f>
        <v/>
      </c>
    </row>
    <row r="9">
      <c r="A9" s="44" t="inlineStr">
        <is>
          <t>Gate Benchmark Summary (RM)</t>
        </is>
      </c>
    </row>
    <row r="10" ht="24" customHeight="1">
      <c r="A10" s="51" t="inlineStr">
        <is>
          <t>Batch</t>
        </is>
      </c>
      <c r="B10" s="51" t="inlineStr">
        <is>
          <t>Delivered GMV (RM)</t>
        </is>
      </c>
      <c r="C10" s="51" t="inlineStr">
        <is>
          <t>GMV Gate Min (RM)</t>
        </is>
      </c>
      <c r="D10" s="51" t="inlineStr">
        <is>
          <t>Realized GP (RM)</t>
        </is>
      </c>
      <c r="E10" s="51" t="inlineStr">
        <is>
          <t>GP Gate Min (RM)</t>
        </is>
      </c>
    </row>
    <row r="11">
      <c r="A11" s="52" t="inlineStr">
        <is>
          <t>B01</t>
        </is>
      </c>
      <c r="B11" s="53" t="n">
        <v>1657</v>
      </c>
      <c r="C11" s="53" t="n">
        <v>1500</v>
      </c>
      <c r="D11" s="53" t="n">
        <v>167</v>
      </c>
      <c r="E11" s="53" t="n">
        <v>150</v>
      </c>
    </row>
    <row r="12">
      <c r="A12" s="52" t="inlineStr">
        <is>
          <t>B02</t>
        </is>
      </c>
      <c r="B12" s="53" t="n">
        <v>1896</v>
      </c>
      <c r="C12" s="53" t="n">
        <v>1500</v>
      </c>
      <c r="D12" s="53" t="n">
        <v>187.5</v>
      </c>
      <c r="E12" s="53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80600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45" customWidth="1" min="3" max="3"/>
    <col width="45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 ht="32" customHeight="1">
      <c r="A1" s="1" t="inlineStr">
        <is>
          <t>batch_id</t>
        </is>
      </c>
      <c r="B1" s="1" t="inlineStr">
        <is>
          <t>delivery_date</t>
        </is>
      </c>
      <c r="C1" s="14" t="inlineStr">
        <is>
          <t>q1_stalls_approached_vs_yes</t>
        </is>
      </c>
      <c r="D1" s="14" t="inlineStr">
        <is>
          <t>q2_first_sku_asked</t>
        </is>
      </c>
      <c r="E1" s="14" t="inlineStr">
        <is>
          <t>q3_price_objections_by_sku</t>
        </is>
      </c>
      <c r="F1" s="14" t="inlineStr">
        <is>
          <t>q4_voice_notes_received_vs_confirmed</t>
        </is>
      </c>
      <c r="G1" s="14" t="inlineStr">
        <is>
          <t>q5_vehicle_fit_measured_vs_estimated_liters</t>
        </is>
      </c>
      <c r="H1" s="14" t="inlineStr">
        <is>
          <t>q6_supplier_thursday_shortfalls</t>
        </is>
      </c>
      <c r="I1" s="14" t="inlineStr">
        <is>
          <t>q7_shift_duration_vs_2_75h_model</t>
        </is>
      </c>
      <c r="J1" s="14" t="inlineStr">
        <is>
          <t>q8_late_or_unpaid_stalls</t>
        </is>
      </c>
    </row>
    <row r="2" ht="68" customHeight="1">
      <c r="A2" s="4" t="inlineStr">
        <is>
          <t>B01</t>
        </is>
      </c>
      <c r="B2" s="4" t="inlineStr">
        <is>
          <t>2026-10-15</t>
        </is>
      </c>
      <c r="C2" s="54" t="inlineStr">
        <is>
          <t>Approached 22 stalls across Premier 101 &amp; Gala City; 9 preordered (40.9% conversion).</t>
        </is>
      </c>
      <c r="D2" s="54" t="inlineStr">
        <is>
          <t>Drink stalls asked for D1 (milk) and A1 (22oz cups) first; food stalls asked for B1 (750ml boxes).</t>
        </is>
      </c>
      <c r="E2" s="54" t="inlineStr">
        <is>
          <t>S03 noted C1 was only RM 0.50 cheaper than their current supplier, but still bought for doorstep delivery.</t>
        </is>
      </c>
      <c r="F2" s="54" t="inlineStr">
        <is>
          <t>2 voice orders arrived (S02, S08); 0 confirmed via text read-back until founder called them directly (VOICE_FOUNDER).</t>
        </is>
      </c>
      <c r="G2" s="54" t="inlineStr">
        <is>
          <t>13 master cartons (18 physical boxes) = 901.5L geometric (~980L packed). Barely fit in a Myvi with rear seats flat; needed front passenger seat.</t>
        </is>
      </c>
      <c r="H2" s="54" t="inlineStr">
        <is>
          <t>100% fill rate at the wholesaler loading bay on Thursday morning.</t>
        </is>
      </c>
      <c r="I2" s="54" t="inlineStr">
        <is>
          <t>Total shift took 3.20 hours (vs 2.75h modelled). Delayed by hunting unit numbers in Gala City &amp; waiting for busy stalls to scan DuitNow QR.</t>
        </is>
      </c>
      <c r="J2" s="54" t="inlineStr">
        <is>
          <t>S05 (Provisional) ordered 8 bundles of B1 but only had RM 50 cash on hand; downgraded delivery to 4 bundles on the spot (4 bundles to buffer).</t>
        </is>
      </c>
    </row>
    <row r="3" ht="68" customHeight="1">
      <c r="A3" s="24" t="inlineStr">
        <is>
          <t>B02</t>
        </is>
      </c>
      <c r="B3" s="24" t="inlineStr">
        <is>
          <t>2026-10-22</t>
        </is>
      </c>
      <c r="C3" s="55" t="inlineStr">
        <is>
          <t>Approached 4 additional stalls in Gala City; 1 preordered, 1 bought walk-up spot (S10) from car buffer.</t>
        </is>
      </c>
      <c r="D3" s="55" t="inlineStr">
        <is>
          <t>D1 remains the #1 door-opener for drink stalls, immediately pulling through high-margin A1 and A2 cup orders.</t>
        </is>
      </c>
      <c r="E3" s="55" t="inlineStr">
        <is>
          <t>Zero price objections on D1 (4.8% margin is thin for us, but makes our price unbeatable). S03 upgraded C1 order to a full carton (12 bundles).</t>
        </is>
      </c>
      <c r="F3" s="55" t="inlineStr">
        <is>
          <t>1 voice note arrived (S08) and confirmed read-back via text (VOICE_CONFIRMED). S02 switched to regular WhatsApp text. ADR-0014 voice bot not needed yet.</t>
        </is>
      </c>
      <c r="G3" s="55" t="inlineStr">
        <is>
          <t>12 master cartons (17 physical boxes) = 825.5L geometric + B01 buffer fit cleanly once loaded in reverse drop sequence by cluster.</t>
        </is>
      </c>
      <c r="H3" s="55" t="inlineStr">
        <is>
          <t>Wholesaler was short 1 master carton of B1 (ordered 3, received 2). Used 4 bundles of B1 from B01 buffer to cover S02/S05/S09; only S08 was partially shorted (6/10 delivered).</t>
        </is>
      </c>
      <c r="I3" s="55" t="inlineStr">
        <is>
          <t>Total shift took 2.50 hours (beat the 2.75h model). Dropping bundles first and collecting DuitNow after completing the cluster loop saved 40 mins.</t>
        </is>
      </c>
      <c r="J3" s="55" t="inlineStr">
        <is>
          <t>100% paid on delivery. S01 and S06 paid via DuitNow QR before the runner even finished unloading.</t>
        </is>
      </c>
    </row>
    <row r="5">
      <c r="A5" s="44" t="inlineStr">
        <is>
          <t>SIDE-BY-SIDE FIELD REVIEW MATRIX (SPEC SECTION 8)</t>
        </is>
      </c>
    </row>
    <row r="6" ht="26" customHeight="1">
      <c r="A6" s="3" t="inlineStr">
        <is>
          <t>Question</t>
        </is>
      </c>
      <c r="B6" s="3" t="inlineStr">
        <is>
          <t>Why it matters (Spec Reference)</t>
        </is>
      </c>
      <c r="C6" s="3" t="inlineStr">
        <is>
          <t>B01 Observation (2026-10-15)</t>
        </is>
      </c>
      <c r="D6" s="3" t="inlineStr">
        <is>
          <t>B02 Observation (2026-10-22)</t>
        </is>
      </c>
    </row>
    <row r="7" ht="48" customHeight="1">
      <c r="A7" s="56" t="inlineStr">
        <is>
          <t>How many Stalls did you approach, and how many said yes?</t>
        </is>
      </c>
      <c r="B7" s="57" t="inlineStr">
        <is>
          <t>Conversion rate. If it is 1 in 10, 14 Stalls is 140 conversations</t>
        </is>
      </c>
      <c r="C7" s="54" t="inlineStr">
        <is>
          <t>Approached 22 stalls across Premier 101 &amp; Gala City; 9 preordered (40.9% conversion).</t>
        </is>
      </c>
      <c r="D7" s="54" t="inlineStr">
        <is>
          <t>Approached 4 additional stalls in Gala City; 1 preordered, 1 bought walk-up spot (S10) from car buffer.</t>
        </is>
      </c>
    </row>
    <row r="8" ht="48" customHeight="1">
      <c r="A8" s="58" t="inlineStr">
        <is>
          <t>Which SKU did each Stall ask for first?</t>
        </is>
      </c>
      <c r="B8" s="59" t="inlineStr">
        <is>
          <t>Tell the Anchor pitch from the actual first ask</t>
        </is>
      </c>
      <c r="C8" s="60" t="inlineStr">
        <is>
          <t>Drink stalls asked for D1 (milk) and A1 (22oz cups) first; food stalls asked for B1 (750ml boxes).</t>
        </is>
      </c>
      <c r="D8" s="60" t="inlineStr">
        <is>
          <t>D1 remains the #1 door-opener for drink stalls, immediately pulling through high-margin A1 and A2 cup orders.</t>
        </is>
      </c>
    </row>
    <row r="9" ht="48" customHeight="1">
      <c r="A9" s="56" t="inlineStr">
        <is>
          <t>Did any Stall object to the price? Which SKU?</t>
        </is>
      </c>
      <c r="B9" s="57" t="inlineStr">
        <is>
          <t>Tests whether 4.8% on D1 is too thin to sell</t>
        </is>
      </c>
      <c r="C9" s="54" t="inlineStr">
        <is>
          <t>S03 noted C1 was only RM 0.50 cheaper than their current supplier, but still bought for doorstep delivery.</t>
        </is>
      </c>
      <c r="D9" s="54" t="inlineStr">
        <is>
          <t>Zero price objections on D1 (4.8% margin is thin for us, but makes our price unbeatable). S03 upgraded C1 order to a full carton (12 bundles).</t>
        </is>
      </c>
    </row>
    <row r="10" ht="48" customHeight="1">
      <c r="A10" s="58" t="inlineStr">
        <is>
          <t>How many voice notes arrived, and how many confirmed?</t>
        </is>
      </c>
      <c r="B10" s="59" t="inlineStr">
        <is>
          <t>ADR-0014 viability</t>
        </is>
      </c>
      <c r="C10" s="60" t="inlineStr">
        <is>
          <t>2 voice orders arrived (S02, S08); 0 confirmed via text read-back until founder called them directly (VOICE_FOUNDER).</t>
        </is>
      </c>
      <c r="D10" s="60" t="inlineStr">
        <is>
          <t>1 voice note arrived (S08) and confirmed read-back via text (VOICE_CONFIRMED). S02 switched to regular WhatsApp text. ADR-0014 voice bot not needed yet.</t>
        </is>
      </c>
    </row>
    <row r="11" ht="48" customHeight="1">
      <c r="A11" s="56" t="inlineStr">
        <is>
          <t>Did cartons fit the vehicle? Measured litres vs estimated?</t>
        </is>
      </c>
      <c r="B11" s="57" t="inlineStr">
        <is>
          <t>Validates ADR-0015</t>
        </is>
      </c>
      <c r="C11" s="54" t="inlineStr">
        <is>
          <t>13 master cartons (18 physical boxes) = 901.5L geometric (~980L packed). Barely fit in a Myvi with rear seats flat; needed front passenger seat.</t>
        </is>
      </c>
      <c r="D11" s="54" t="inlineStr">
        <is>
          <t>12 master cartons (17 physical boxes) = 825.5L geometric + B01 buffer fit cleanly once loaded in reverse drop sequence by cluster.</t>
        </is>
      </c>
    </row>
    <row r="12" ht="48" customHeight="1">
      <c r="A12" s="58" t="inlineStr">
        <is>
          <t>Did the supplier have everything on Thursday?</t>
        </is>
      </c>
      <c r="B12" s="59" t="inlineStr">
        <is>
          <t>Shortfall frequency (ADR-0011)</t>
        </is>
      </c>
      <c r="C12" s="60" t="inlineStr">
        <is>
          <t>100% fill rate at the wholesaler loading bay on Thursday morning.</t>
        </is>
      </c>
      <c r="D12" s="60" t="inlineStr">
        <is>
          <t>Wholesaler was short 1 master carton of B1 (ordered 3, received 2). Used 4 bundles of B1 from B01 buffer to cover S02/S05/S09; only S08 was partially shorted (6/10 delivered).</t>
        </is>
      </c>
    </row>
    <row r="13" ht="48" customHeight="1">
      <c r="A13" s="56" t="inlineStr">
        <is>
          <t>What took longer than expected?</t>
        </is>
      </c>
      <c r="B13" s="57" t="inlineStr">
        <is>
          <t>Real shift duration vs the modelled 2.75 h</t>
        </is>
      </c>
      <c r="C13" s="54" t="inlineStr">
        <is>
          <t>Total shift took 3.20 hours (vs 2.75h modelled). Delayed by hunting unit numbers in Gala City &amp; waiting for busy stalls to scan DuitNow QR.</t>
        </is>
      </c>
      <c r="D13" s="54" t="inlineStr">
        <is>
          <t>Total shift took 2.50 hours (beat the 2.75h model). Dropping bundles first and collecting DuitNow after completing the cluster loop saved 40 mins.</t>
        </is>
      </c>
    </row>
    <row r="14" ht="48" customHeight="1">
      <c r="A14" s="58" t="inlineStr">
        <is>
          <t>Did any Stall pay late or not at all?</t>
        </is>
      </c>
      <c r="B14" s="59" t="inlineStr">
        <is>
          <t>Trust-tier calibration</t>
        </is>
      </c>
      <c r="C14" s="60" t="inlineStr">
        <is>
          <t>S05 (Provisional) ordered 8 bundles of B1 but only had RM 50 cash on hand; downgraded delivery to 4 bundles on the spot (4 bundles to buffer).</t>
        </is>
      </c>
      <c r="D14" s="60" t="inlineStr">
        <is>
          <t>100% paid on delivery. S01 and S06 paid via DuitNow QR before the runner even finished unloading.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2026-10-28T08:42:09Z</dcterms:created>
  <dcterms:modified xmlns:dcterms="http://purl.org/dc/terms/" xmlns:xsi="http://www.w3.org/2001/XMLSchema-instance" xsi:type="dcterms:W3CDTF">2026-10-28T08:42:09Z</dcterms:modified>
</cp:coreProperties>
</file>